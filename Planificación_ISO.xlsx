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2"/>
  <workbookPr/>
  <mc:AlternateContent xmlns:mc="http://schemas.openxmlformats.org/markup-compatibility/2006">
    <mc:Choice Requires="x15">
      <x15ac:absPath xmlns:x15ac="http://schemas.microsoft.com/office/spreadsheetml/2010/11/ac" url="https://ceu365-my.sharepoint.com/personal/victor_vegamartinez_usp_ceu_es/Documents/"/>
    </mc:Choice>
  </mc:AlternateContent>
  <xr:revisionPtr revIDLastSave="0" documentId="8_{D1B09ADF-7CC1-4271-91E3-3D7A80053D44}" xr6:coauthVersionLast="47" xr6:coauthVersionMax="47" xr10:uidLastSave="{00000000-0000-0000-0000-000000000000}"/>
  <bookViews>
    <workbookView xWindow="4320" yWindow="620" windowWidth="24480" windowHeight="15740" firstSheet="1" activeTab="1" xr2:uid="{00000000-000D-0000-FFFF-FFFF00000000}"/>
  </bookViews>
  <sheets>
    <sheet name="Tareas" sheetId="3" r:id="rId1"/>
    <sheet name="Requisitos" sheetId="1" r:id="rId2"/>
  </sheets>
  <definedNames>
    <definedName name="_xlnm._FilterDatabase" localSheetId="0" hidden="1">Tareas!$A$1:$F$32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4" i="1" l="1"/>
  <c r="C65" i="1"/>
  <c r="C66" i="1"/>
  <c r="C67" i="1"/>
  <c r="C68" i="1"/>
  <c r="C69" i="1"/>
  <c r="C70" i="1"/>
  <c r="C71" i="1"/>
  <c r="C72" i="1"/>
  <c r="C73" i="1"/>
  <c r="C74" i="1"/>
  <c r="C75" i="1"/>
  <c r="C76" i="1"/>
  <c r="B100" i="3"/>
  <c r="B110" i="3"/>
  <c r="B109" i="3"/>
  <c r="B107" i="3"/>
  <c r="B108" i="3"/>
  <c r="B104" i="3"/>
  <c r="B103" i="3"/>
  <c r="B102" i="3"/>
  <c r="B101" i="3"/>
  <c r="B99" i="3"/>
  <c r="B98" i="3"/>
  <c r="B97" i="3"/>
  <c r="B82" i="3"/>
  <c r="B63" i="3"/>
  <c r="B81" i="3"/>
  <c r="B80" i="3"/>
  <c r="B78" i="3"/>
  <c r="B77" i="3"/>
  <c r="B76" i="3"/>
  <c r="B75" i="3"/>
  <c r="B74" i="3"/>
  <c r="B69" i="3"/>
  <c r="B68" i="3"/>
  <c r="B67" i="3"/>
  <c r="B66" i="3"/>
  <c r="B62" i="3"/>
  <c r="B61" i="3"/>
  <c r="B60" i="3"/>
  <c r="B53" i="3"/>
  <c r="B52" i="3"/>
  <c r="B51" i="3"/>
  <c r="B50" i="3"/>
  <c r="B49" i="3"/>
  <c r="B47" i="3"/>
  <c r="B46" i="3"/>
  <c r="B45" i="3"/>
  <c r="B44" i="3"/>
  <c r="B43" i="3"/>
  <c r="B38" i="3"/>
  <c r="B39" i="3"/>
  <c r="B42" i="3"/>
  <c r="B41" i="3"/>
  <c r="B40" i="3"/>
  <c r="B37" i="3"/>
  <c r="B36" i="3"/>
  <c r="B35" i="3"/>
  <c r="B34" i="3"/>
  <c r="B33" i="3"/>
  <c r="B29" i="3"/>
  <c r="B32" i="3"/>
  <c r="B31" i="3"/>
  <c r="B30" i="3"/>
  <c r="B28" i="3"/>
  <c r="B27" i="3"/>
  <c r="B25" i="3"/>
  <c r="B24" i="3"/>
  <c r="B23" i="3"/>
  <c r="B22" i="3"/>
  <c r="B21" i="3"/>
  <c r="B20" i="3"/>
  <c r="B19" i="3"/>
  <c r="B18" i="3"/>
  <c r="B17" i="3"/>
  <c r="B16" i="3"/>
  <c r="B15" i="3"/>
  <c r="B14" i="3"/>
  <c r="B13" i="3"/>
  <c r="B12" i="3"/>
  <c r="B11" i="3"/>
  <c r="B10" i="3"/>
  <c r="B9" i="3"/>
  <c r="B8" i="3"/>
  <c r="B7" i="3"/>
  <c r="B6" i="3"/>
  <c r="B5" i="3"/>
  <c r="B4" i="3"/>
  <c r="B2" i="3"/>
  <c r="B3" i="3"/>
</calcChain>
</file>

<file path=xl/sharedStrings.xml><?xml version="1.0" encoding="utf-8"?>
<sst xmlns="http://schemas.openxmlformats.org/spreadsheetml/2006/main" count="828" uniqueCount="259">
  <si>
    <t>Tarea</t>
  </si>
  <si>
    <t>ID de requisito (Link)</t>
  </si>
  <si>
    <t>Tiempo estimado (horas)</t>
  </si>
  <si>
    <t>Tiempo real (horas)</t>
  </si>
  <si>
    <t>Owner</t>
  </si>
  <si>
    <t>Estado</t>
  </si>
  <si>
    <t>Crear y configuración de entorno de Conda en la carpeta del proyecto</t>
  </si>
  <si>
    <t>0.5</t>
  </si>
  <si>
    <t>0.25</t>
  </si>
  <si>
    <t>Victor</t>
  </si>
  <si>
    <t>Completado</t>
  </si>
  <si>
    <t>Estudio de la documentación de FastAPI</t>
  </si>
  <si>
    <t>Juan</t>
  </si>
  <si>
    <t>Pedro</t>
  </si>
  <si>
    <t>Creación de fichero de dependencias del proyecto y subida al repositorio de github</t>
  </si>
  <si>
    <t>0.17</t>
  </si>
  <si>
    <t>0.083</t>
  </si>
  <si>
    <t>Creación de fichero de servidor web con FastAPI y tests iniciales de comprobación</t>
  </si>
  <si>
    <t>Pablo</t>
  </si>
  <si>
    <t>Alfredo</t>
  </si>
  <si>
    <t>Javier</t>
  </si>
  <si>
    <t>Creación y edición de fichero HTML para endpoint "/"</t>
  </si>
  <si>
    <t>Creación de tests para landing page</t>
  </si>
  <si>
    <t>Modificación del HTML para mostrar más información acerca de la utilidad de la página</t>
  </si>
  <si>
    <t>0.12</t>
  </si>
  <si>
    <t>Creación de más tests para funcionalidad de landing page</t>
  </si>
  <si>
    <t>Edición de fichero servidor para devolver HTMLs a la página web</t>
  </si>
  <si>
    <t>Creación y edición de fichero HTML para endpoint "/menu-semanal"</t>
  </si>
  <si>
    <t>Creación de tests para endpoint de menú semanal</t>
  </si>
  <si>
    <t>Creación de nuevo endpoint para las recetas</t>
  </si>
  <si>
    <t>Creación de tests para endpoint de las recetas</t>
  </si>
  <si>
    <t>0.15</t>
  </si>
  <si>
    <t xml:space="preserve">Creación de botón para crear cuenta en HTML </t>
  </si>
  <si>
    <t>Creación de diálogo con formulario para introducir datos y enviarlos al servidor</t>
  </si>
  <si>
    <t>Guardar información de la cuenta creada en el servidor</t>
  </si>
  <si>
    <t>0.75</t>
  </si>
  <si>
    <t>Estudio de configuración de conda</t>
  </si>
  <si>
    <t>1.5</t>
  </si>
  <si>
    <t>Mostrar mensaje en HTML tras la finalización de cuenta creada</t>
  </si>
  <si>
    <t>Refactoring del código</t>
  </si>
  <si>
    <t>Mostrar menú/formulario para la creación de la receta (HTML)</t>
  </si>
  <si>
    <t>Mostrar botón para sacar el formulario de creación de las recetas de comida</t>
  </si>
  <si>
    <t>Estudio de Javascript</t>
  </si>
  <si>
    <t>Creación de nuevo endpoint para recibir la información de la creación de nueva receta</t>
  </si>
  <si>
    <t>Creación de código Javascript para mandar formulario al servidor</t>
  </si>
  <si>
    <t>Creación de código Javascript para ocultar el diálogo del formulario y mostrar mensaje de éxito de creación de una receta de comida</t>
  </si>
  <si>
    <t>Creación de un botón HTML de inicio de sesión</t>
  </si>
  <si>
    <t>Reutilizar codigo de crear cuenta para formulario de inicio de sesion</t>
  </si>
  <si>
    <t>Mostrar mensaje de éxito tras pulsar el boton al finalizar</t>
  </si>
  <si>
    <t>Modificar el formulario de crear receta para aceptar los nuevos campos</t>
  </si>
  <si>
    <t>Modificar el endpoint de crear receta para que reconozca los datos enviados</t>
  </si>
  <si>
    <t>2.5</t>
  </si>
  <si>
    <t>Estudiar documentación necesaria</t>
  </si>
  <si>
    <t>Crear un botón HTML de cerrar sesión</t>
  </si>
  <si>
    <t>Reutilizar codigo del "Modal" para mostrar el dialogo de cerrar sesión</t>
  </si>
  <si>
    <t>Arreglo de la funcionalidad del boton de iniciar sesion a través de js</t>
  </si>
  <si>
    <t>Explicacion de codigo de js</t>
  </si>
  <si>
    <t>Arreglo cambios de el repositorio</t>
  </si>
  <si>
    <t>Modificar el servidor web para poder guardar los datos asociados a las cuentas creadas</t>
  </si>
  <si>
    <t>Mostrar mensaje de error específico en HTML si se intenta crear una cuenta ya creada</t>
  </si>
  <si>
    <t>Verificar que las cuentas sean únicas (el email debe ser único)</t>
  </si>
  <si>
    <t>Investigar sobre templates HTML para diferentes vistas</t>
  </si>
  <si>
    <t>Crear html invitado</t>
  </si>
  <si>
    <t>Crear landing page igual que la de un usuario registrado en html invitado</t>
  </si>
  <si>
    <t>Hacer redirecciones de todos los botones (excepto el de inicio) para que vayan al inicio de sesión</t>
  </si>
  <si>
    <t>Verificar que todos los botones (excepto el de inicio) redirijan a iniciar sesión</t>
  </si>
  <si>
    <t>Borrar botón de cerrar sesión en HTML de invitado</t>
  </si>
  <si>
    <t>Crear validación avanzada de contraseña (longitud mínima 8, mayúsculas, minúsculas, número, símbolo)</t>
  </si>
  <si>
    <t>Comprobar que el backend no unifica las respuestas de error de contraseña con las de email</t>
  </si>
  <si>
    <t>Añadir mensajes de error estilizados en el HTML para contraseñas que no cumplan los requisitos</t>
  </si>
  <si>
    <t>Crear validación de email basada en expresiones regulares personalizadas</t>
  </si>
  <si>
    <t>Revisar que la respuesta del backend al validar email sea consistente con otros endpoints</t>
  </si>
  <si>
    <t>Comprobar que el sistema de validación funciona también al editar una cuenta existente</t>
  </si>
  <si>
    <t>Crer contenido que indique que estas en modo invitado en el HTMl de invitado</t>
  </si>
  <si>
    <t>0.35</t>
  </si>
  <si>
    <t>Eliminar botones de inicio de sesión y de crear cuenta, dejando el botón de cerrar sesión</t>
  </si>
  <si>
    <t>Crear icono que indique que el usuario está registrado</t>
  </si>
  <si>
    <t>Añadir botón cerrar sesión a recetas y ajustes del mismo</t>
  </si>
  <si>
    <t>Comprobar que los requisitos de la contraseña se cumplen</t>
  </si>
  <si>
    <t>Comprobar que los requisitos del email se cumplen</t>
  </si>
  <si>
    <t>Comprobar que los campos están obligatorios en la parte de crear usuario</t>
  </si>
  <si>
    <t>Modificar el html de recetas para mostrar tres opciones diferentes "Mis recetas", "Recetas guardadas" y "Crear receta"</t>
  </si>
  <si>
    <t>0.33</t>
  </si>
  <si>
    <t>0.83</t>
  </si>
  <si>
    <t>Hacer que "Mis recetas" y "Recetas guardadas" redirijan a paginas diferentes</t>
  </si>
  <si>
    <t>Cambiar html para que "Crear receta" muestre un formulario con sus campos correspondientes</t>
  </si>
  <si>
    <t>0.16</t>
  </si>
  <si>
    <t>Crear validación avanzada de email utilizando API</t>
  </si>
  <si>
    <t>Ajustar diferentes parámetros en base a lo que queremos</t>
  </si>
  <si>
    <t>0.2</t>
  </si>
  <si>
    <t>Integrar la validación de email en el flujo de creación de cuenta (backend)</t>
  </si>
  <si>
    <t>Crear mensaje de error específico y estilizado para email inválido en HTML</t>
  </si>
  <si>
    <t>0.1</t>
  </si>
  <si>
    <t>0.3</t>
  </si>
  <si>
    <t>Permitir que un usuario se inicie sesión</t>
  </si>
  <si>
    <t>Revisar codigo del javascript</t>
  </si>
  <si>
    <t>Modificar campos obligatorios dentro de la opción de crear una receta</t>
  </si>
  <si>
    <t>Modificar javascript para que el formulario se pueda enviar sin estar completo</t>
  </si>
  <si>
    <t>Comprobar que los campos indicados como obligatorios, son requeridos y los que no están como obligatorios no lo son</t>
  </si>
  <si>
    <t>Comprobar que todo funciona y se puede enviar el formulario sin que todos los campos estén rellenos</t>
  </si>
  <si>
    <t>Permitir identificar en cualquier momento el estado del usuario (cookies)</t>
  </si>
  <si>
    <t>Modificar servidor para poder guardar las recetas</t>
  </si>
  <si>
    <t>Modificar servidor para guardar cookies de usuario para identificarlo mediante el email al registrarse</t>
  </si>
  <si>
    <t>Revisar que el front está enviando correctamente el email en el formato esperado</t>
  </si>
  <si>
    <t>Añadir logs de depuración cuando un email no cumple condiciones</t>
  </si>
  <si>
    <t>Estudio del codigo refactorizado</t>
  </si>
  <si>
    <t>Arreglar modal cuando clickas fuera</t>
  </si>
  <si>
    <t>Estandarizar el formulario de crear receta</t>
  </si>
  <si>
    <t>Mensajes de errores encontrados al hacer doble click en crear cuenta</t>
  </si>
  <si>
    <t>Que no salgan los mensajes de error especificos en el email de iniciar sesión</t>
  </si>
  <si>
    <t>Igualar el boton de cerrar sesion en la pagina de recetas guardadas</t>
  </si>
  <si>
    <t>Cambiar el nombre de la aplicación EN TODOS LOS LADOS (ESPECIALMENTE PARA EL PROMPT DE COPILOT</t>
  </si>
  <si>
    <t>LOGO Y FAVICON</t>
  </si>
  <si>
    <t>Pendiente</t>
  </si>
  <si>
    <t>Arreglar desplegable de recetas</t>
  </si>
  <si>
    <t>Poner trampilla para iniciar sesion</t>
  </si>
  <si>
    <t>igualar el modal de visualizar receta del apartado de recetas guardadas con el resto de modales de recetas</t>
  </si>
  <si>
    <t>0.05</t>
  </si>
  <si>
    <t>poder visualizar las recetas guardadas por el usuario</t>
  </si>
  <si>
    <t>0.08</t>
  </si>
  <si>
    <t>en el apartado de recetas guardadas, el botón de explorar recetas tiene que redirigir al apartado de comunidad en vez de al apartado de recetas</t>
  </si>
  <si>
    <t>Quitar la opción de foto obligatoria en las recetas</t>
  </si>
  <si>
    <t>Mostrar un nuevo modal al clickar en cualquier receta del apartado de mis recetas</t>
  </si>
  <si>
    <t>Mostrar en el modal todas las especificaciones de la receta a la que accedamos</t>
  </si>
  <si>
    <t>0.67</t>
  </si>
  <si>
    <t>Ponre un formato y diferentes botones en el modal</t>
  </si>
  <si>
    <t>Comprobar que todo funciona y se muestran los datos correctos</t>
  </si>
  <si>
    <t>1.25</t>
  </si>
  <si>
    <t>Crear un modal para la confirmación de que se desea publicar la receta</t>
  </si>
  <si>
    <t>Crear la ocpión de publicar la receta y que salga el modal de confirmación</t>
  </si>
  <si>
    <t>Comprobar que todo funciona con normalidad y que el apartado de publicación de la receta no ha afectado negativamente</t>
  </si>
  <si>
    <t>Cambios esteticos y unificación de estilos de modales</t>
  </si>
  <si>
    <t>Crear opcion de borrar una receta y su modal de confirmacion</t>
  </si>
  <si>
    <t>Al confirmar el borrado comprobar que se borra del json</t>
  </si>
  <si>
    <t>Diferentes comprobaciones</t>
  </si>
  <si>
    <t>Cambiar visuales de los modales de borrar y publicar</t>
  </si>
  <si>
    <t>Meter en fichero de configuracion la validacion del email</t>
  </si>
  <si>
    <t>61, 62, 63, 70</t>
  </si>
  <si>
    <t>67,68,69</t>
  </si>
  <si>
    <t>Obregon</t>
  </si>
  <si>
    <t>74, 73 72</t>
  </si>
  <si>
    <t>Requisito</t>
  </si>
  <si>
    <t>Criterio de validacion</t>
  </si>
  <si>
    <t>ID</t>
  </si>
  <si>
    <t>Priority</t>
  </si>
  <si>
    <t>Tiempo planning poker (horas)</t>
  </si>
  <si>
    <t>Riesgo</t>
  </si>
  <si>
    <t>Entrega</t>
  </si>
  <si>
    <t>Se requiere de una página web que muestre el contenido de la idea del recetario de comidas</t>
  </si>
  <si>
    <t>1. Al crear una nueva receta, si no se introduce un valor para el nombre, no debe dejar mandar el formulario y debe mostrar un aviso.
2. Al crear una nueva receta, si no se introduce un valor para el descripcion, no debe dejar mandar el formulario y debe mostrar un aviso.
3. Al crear una nueva receta, si no se introduce un valor para ingredientes, no debe dejar mandar el formulario y debe mostrar un aviso.
4. Al crear una nueva receta, si no se introduce un valor para los pasos a seguir, no debe dejar mandar el formulario y debe mostrar un aviso.
5. Al crear una nueva receta, si no se introduce un valor para la duración, no debe dejar mandar el formulario y debe mostrar un aviso.
6. Al crear una nueva receta, si no se introduce un valor para la foto, no debe dejar mandar el formulario y debe mostrar un aviso.
7. Si se introducen todos los campos obligatorios en el formulario, este se manda.
8. Cuando se mande el formulario correctamente, se debe mostrar un mensaje de éxito</t>
  </si>
  <si>
    <t>I</t>
  </si>
  <si>
    <t>Medio</t>
  </si>
  <si>
    <t>Se requiere que la página web sea responsive (se adapte al tamaño de la pantalla del cliente).</t>
  </si>
  <si>
    <t>1.Si no estás iniciado sesión, si clickas cualquier opción de la landing page(excepto inicio o el boton de recetario online), debe redirigirte a un formulario para iniciar sesión.
2. Si no se ha iniciado sesión debe aparecer la opción de iniciar sesión y crear cuenta, pero no la de cerrar sesión.
3. Debe aparecer un contenido que indique que se está utilizando la página web en modo invitado.</t>
  </si>
  <si>
    <t>C</t>
  </si>
  <si>
    <t>Alto</t>
  </si>
  <si>
    <t>La página web debe contar con una página de bienvenida (landing page) que muestre información acerca de la utilidad de la misma y de sus distintos apartados.</t>
  </si>
  <si>
    <t>1.Si un usuario invitado inicia sesión, al clickar cualquier botón o apartado, se le permitirá acceder al mismo.
2. En vez de aparecer los botones de iniciar sesión y crear cuenta, debe salir la opción de cerrar sesión en la landing page.
3. Debe aparecer un contenido que muestre un icono de ejemplo en la esquina superior derecha cuando un usuario esté registrado</t>
  </si>
  <si>
    <t>Bajo</t>
  </si>
  <si>
    <t>La página web debe contar con un apartado que muestre un menú de recetas del usuario</t>
  </si>
  <si>
    <t>1. Un usuario con la sesión iniciada deberá tener la opción de cerrar sesión desde los distintos apartado de la página
2. Si se selecciona la opción de cerrar sesión desde cualquier apartado, se le redirigirá al usuario a la landing page como usuario invitado (sin permisos para entrar al resto de apartados).
3. Debe aparecer un contenido que indique que se está utilizando la página web en modo invitado.</t>
  </si>
  <si>
    <t>N</t>
  </si>
  <si>
    <t>La página web debe contar con un apartado que muestre recetas publicadas por otros usuarios.</t>
  </si>
  <si>
    <t>1. Siendo un usuario con inicio de sesión ya realizado, este debe poder acceder al apartado de recetas y observar las tres diferentes opciones.
2. Si el usuario selecciona la opción de "Mis Recetas" se le redirigirá a una página donde se le muestran sus recetas.
3. Si el usuario selecciona la opción de "Recetas guardadas" se le redirigirá a una página donde se le muestren sus recetas guardadas.
4. Si el usuario selecciona la opción de "Crear Receta"  se le mostrará un formulario directamente para introducir los campos correspondientes.</t>
  </si>
  <si>
    <t>La página web debe contar con un apartado que muestre un menú para la creación de un menú semanal de comidas.</t>
  </si>
  <si>
    <t>1. Un usuario con la sesión iniciada debe tener la opción de acceder al apartado "Mis recetas" desde el apartado "Recetas".
2. Un usuario, al acceder al apartado "Mis recetas",  debe poder observar un titulo que indique que está en el apartado de "Mis recetas".
3.Si un usuario ya con la sesión iniciada accede al apartado de mis recetas, se le deben mostrar solamente sus recetas y no las de otros usuarios.
4. Debe aparecer la opción de crear nueva receta de comida en este apartado.
5. Si se crea una nueva receta desde este apartado, la página web automáticamente mostrará la nueva receta creada junto con el resto de recetas de comida mostradas.
6. Dentro de este apartado, se mostrarán todas las recetas propias del usuario mostrando el título, descripción, foto, duración.</t>
  </si>
  <si>
    <t>La página web contemplará un tipo de usuario denominado: usuario invitado. Este usuario no se habrá registrado ni iniciado sesión y solo tendrá acceso a la landing page.</t>
  </si>
  <si>
    <t xml:space="preserve">1. Al crear una cuenta, si no se introduce un valor para el nombre de usuario, no debe dejar mandar el formulario y debe mostrar un mensaje de aviso.
2. Al crear una cuenta, si no se introduce un valor para el  email, no debe dejar mandar el formulario y debe mostrar un mensaje de aviso.
3. Al crear una cuenta, si no se introduce un valor para la contraseña, no debe dejar mandar el formulario y debe mostrar un mensaje de aviso.
4. Si se introducen todos los campos, debe dejar mandar el formulario.
5. Se mostrará un mensaje de éxito cuando se mande correctamente el formulario. </t>
  </si>
  <si>
    <t>Se denegará el acceso a cualquier usuario invitado que intente acceder a otro apartado que no sea de la landing page.</t>
  </si>
  <si>
    <t xml:space="preserve">1. Al iniciar sesión, si no se introduce un valor para el email, no debe dejar mandar el formulario y debe mostrar un mensaje de aviso.
2. Al iniciar sesión, si no se introduce un valor para la contraseña, no debe dejar mandar el formulario y debe mostrar un mensaje de aviso.
3. Si se introducen todos los campos, debe dejar mandar el formulario.
4. Se mostrará un mensaje de éxito cuando se mande correctamente el formulario. </t>
  </si>
  <si>
    <t>La landing page debe contener la posibilidad de permitir a un usuario invitado crearse una cuenta.</t>
  </si>
  <si>
    <t>1. Si se introduce en cualquier formulario una contraseña con menos de 8 caracteres, no debe dejar mandar el formulario y debe mostrar un mensaje de aviso.
2. Si se introduce en cualquier formulario una contraseña que no contiene mínimo una letra mayúscula, no debe dejar mandar el formulario y debe mostrar un mensaje de aviso.
3. Si se introduce en cualquier formulario una contraseña con mínimo una letra minúscula, no debe dejar mandar el formulario y debe mostrar un mensaje de aviso.
4. Si se introduce en cualquier formulario una contraseña con mínimo un número, no debe dejar mandar el formulario y debe mostrar un mensaje de aviso.</t>
  </si>
  <si>
    <t>La landing page debe contener la posibilidad de permitir a un usuario invitado iniciar sesión con una cuenta.</t>
  </si>
  <si>
    <t>1. Si se introduce en cualquier formulario un email con menos de 8 caracteres en la parte local, no debe dejar mandar el formulario y debe mostrar un mensaje de aviso.
2. Si se introduce en cualquier formulario un email con cualquier caracter que no sea una letra, número o punto, no debe dejar mandar el formulario y debe mostrar un mensaje de aviso.
3. Si se introduce en cualquier formulario un email sin arroba, no debe dejar mandar el formulario y debe mostrar un mensaje de aviso.
4. Si se introduce en cualquier formulario un email con más de un arroba, no debe dejar mandar el formulario y debe mostrar un mensaje de aviso.
5. Si se introduce en cualquier formulario un email con un dominio fuera de los especificados en el requisito, no debe dejar mandar el formulario y debe mostrar un mensaje de aviso.</t>
  </si>
  <si>
    <t>La página web deberá contener, desde cualquier apartado, la posibilidad de cerrar sesión a un usuario registrado.</t>
  </si>
  <si>
    <t>La página web deberá contener, desde cualquier apartado, la posibilidad de editar cuenta a un usuario registrado.</t>
  </si>
  <si>
    <t>La página web contemplará un tipo de usuario denominado: usuario registrado. Este usuario habrá iniciado sesión con una cuenta y tendrá acceso a todos los apartados.</t>
  </si>
  <si>
    <t>La página web no debe guardar información sensible de la cuenta del usuario (ej: contraseña) en claro. Debe estar protegida por algún mecanismo de seguridad ante posibles fallos de seguridad. (Ej: cifrar contraseñas) .</t>
  </si>
  <si>
    <t>La página web debe permitir cambiar el idioma del texto.</t>
  </si>
  <si>
    <t>Se requiere que el sistema mantenga información persistente.</t>
  </si>
  <si>
    <t>Se requiere que el sistema tenga la posibilidad de escalar.</t>
  </si>
  <si>
    <t>Se requiere que cada cuenta de usuario sea única, es decir, que cada cuenta sea solo de un usuario.</t>
  </si>
  <si>
    <t>Dentro del apartado del menú de las recetas del usuario, se debe poder crear una receta nueva.</t>
  </si>
  <si>
    <t>A la hora de crear una nueva receta se debe poder introducir manualmente los pasos a seguir, ingredientes, alérgenos, nombre, foto, tipo de comida (entendido como país de origen) turno de comida (si es de comida, desayuno, cena...), dificultad de la receta y duración.</t>
  </si>
  <si>
    <t>Dentro del apartado de las recetas se debe poder editar o modificar las recetas propias del usuario, cambiando los campos de la información de la receta.</t>
  </si>
  <si>
    <t>Dentro del apartado de las recetas un usuario no deberá poder editar una receta de la que no es propietario.</t>
  </si>
  <si>
    <t>Dentro del apartado de las recetas se debe poder eliminar las recetas propias del usuario.</t>
  </si>
  <si>
    <t>Dentro del apartado de recetas se podrán visualizar todas las recetas creadas por el usuario.</t>
  </si>
  <si>
    <t>Dentro del apartado de recetas se podrán visualizar todas las recetas guardadas por el usuario (no son de su propiedad).</t>
  </si>
  <si>
    <t>Dentro del apartado de las recetas creadas, el usuario puede decidir si publicarlas (ser visibles por el resto de los usuarios).</t>
  </si>
  <si>
    <t>Independientemente del apartado en el que se encuentre un usuario, al acceder a una receta que no sea propia, se le permitirá poner una valoración y/o un comentario.</t>
  </si>
  <si>
    <t xml:space="preserve">Cada usuario registrado de la página web tendrá una valoración general en función de las valoraciones de sus recetas, que se podrá visualizar en el perfil. </t>
  </si>
  <si>
    <t>Dentro del apartado de las recetas publicadas por usuarios, se podrá filtrar en función de en función de: ingredientes, alérgenos, nombre, foto, tipo de comida (entendido como país de origen) turno de comida (si es de comida, desayuno, cena...), dificultad de la receta y duración.</t>
  </si>
  <si>
    <t>Dentro del apartado de las recetas publicadas por otros usuarios, si un usuario accede a una receta se le permitirá guardar la receta.</t>
  </si>
  <si>
    <t xml:space="preserve">Dentro del apartado del menú semanal se debe poder generar un menú semanal automáticamente en función de las recetas propias y guardadas. </t>
  </si>
  <si>
    <t>Dentro del apartado del menú semanal se debe poder editar el menú semanal.</t>
  </si>
  <si>
    <t>Dentro del apartado de edición del menú semanal se permitirá modificar las recetas seleccionadas manualmente por otras recetas propias del usuario y/o guardadas.</t>
  </si>
  <si>
    <t>Siempre que un usuario edite una receta o un menú semanal se debe dar la opción de guardar o no los cambios.</t>
  </si>
  <si>
    <t>Dentro del apartado del menú semanal, si el usuario ha generado el menú, debe poder guardarlo.</t>
  </si>
  <si>
    <t>El elemento único dentro de una cuenta es el email, es decir, no pueden existir dos cuentas distintas con el mismo email.</t>
  </si>
  <si>
    <t>Al crear una receta, los siguientes campos son obligatorios: nombre, descripcion, ingredientes, pasos a seguir, duracion, foto</t>
  </si>
  <si>
    <t>Siempre que un usuario esté creando una receta nueva, debe tener la opción de guardar o no la nueva receta.</t>
  </si>
  <si>
    <t>Un usuario invitado no puede acceder a ningún apartado que no sea la landing page</t>
  </si>
  <si>
    <t>Un usuario registrado(ya ha iniciado sesión) tendrá acceso a cualquier apartado de la página web.</t>
  </si>
  <si>
    <t>Una vez el usuario cierre sesión, se le debe redirigir a la landing page de usuario invitado</t>
  </si>
  <si>
    <t>El apartado de recetas debe contener tres apartados diferentes: "Mis recetas", "Recetas Guardadas" y "Crear Receta".</t>
  </si>
  <si>
    <t>Se deben poder visualizar las recetas de comida del mismo usuario en el apartado de mis recetas.</t>
  </si>
  <si>
    <t>Definir y modificar la paleta de colores de la página web y modificar la página actual</t>
  </si>
  <si>
    <t>Generar un logo para la página web, así como una nombre de página web, un favicon y mostrarlo visualmente en el diseño de la página web.</t>
  </si>
  <si>
    <t>Al crear una cuenta, todos los campos son obligatorios</t>
  </si>
  <si>
    <t>Al iniciar sesión, todos los campos son obligatorios</t>
  </si>
  <si>
    <t>Cualquier contraseña introducida en cualquier formulario de la página web deberá contener al menos 8 caracteres, una mayúscula, una minúscula y número</t>
  </si>
  <si>
    <t>La foto de las recetas no debe ser obligatoria al crear una receta</t>
  </si>
  <si>
    <t>1.  Al crear una nueva receta, si no se introduce una foto, no debe impedir mandar el formulario.
2. Una vez creada la receta sin foto, en el apartado de Mis Recetas se debe poder observar esta nueva receta con un contenido predeterminado.</t>
  </si>
  <si>
    <t>Cualquier email que se introduzca en cualquier formulario de la página web debe ser válido y legítimo.</t>
  </si>
  <si>
    <t>1. En cualquier formulario de la página web, si se introduce un email que no cumple con la validación de correo electrónico legítimo no debe dejar enviar el formulario.
2. Si se introduce un email válido y el resto de campos del formulario son correctos, este debe poder mandarse.
3. Una vez se mande el formulario correctamente, se mostrará un mensaje de éxito</t>
  </si>
  <si>
    <t>En el apartado de Comunidad, debe aparecer un listado de recetas publicadas (no apareceerán recetas propias del mismo usuario) que muestren el título, descripción, foto, duración, dificultad, turno de comida, alérgenos.</t>
  </si>
  <si>
    <t>1. Debe existir un apartado de la página web que contenga las recetas de la Comunidad.
2. Si un usuario registrado intenta entrar a ese apartado desde cualquier opción disponible, debe poder acceder correctamente.
3. Debe existir un contenido que indique visualmente que el usuario se encuentra en el apartado de Comunidad.
4. Las recetas que se muestran, no deben ser del propio usuario.
5. Debe aparecer una lista de recetas con título, descripción, foto, duración, dificultad, turno de comida y alérgenos.</t>
  </si>
  <si>
    <t>Las recetas de la Comunidad deben poder ser guardadas por el usuario</t>
  </si>
  <si>
    <t>1. Dentro del apartado de la Comunidad, las recetas mostradas deben tener una opción para ser guardadas.
2. Si se guarda una receta, debe haber un elemento visual que muestre que ha sido guardado con éxito.
3. Si el usuario ha guardado una receta, este debe poder entrar al apartado de Recetas guardadas y visualizar dicha receta.</t>
  </si>
  <si>
    <t>Las recetas de la Comunidad deben poder ser eliminadas de guardadas</t>
  </si>
  <si>
    <t>1. Dentro del apartado de la Comunidad, las recetas mostradas deben tener una opción para ser eliminadas de guardadas si se han guardado previamente.
2. Desde el apartado de Recetas Guardadas, se deben poder eliminar de guardadas las recetas.
3. Si, desde el apartado de Recetas Guardadas, una receta se elimina de guardadas, debe refrescarse automáticamente la página con los cambios.
4. Desde el apartado de Recetas Guardadas, si se elimina de guardadas una receta, se debe mostrar un mensaje de éxito si se elimina correctamente.
5. En el apartado de Comunidad, si se elimina de guardadas una receta, debe haber un elemento visual que muestre que ha sido eliminada con éxito.</t>
  </si>
  <si>
    <t>El usuario puede seleccionar una receta de Mis recetas, mostrando todo el contenido completo de la receta, incluyendo opciones para poder publicar, editar o borrar la receta</t>
  </si>
  <si>
    <t>1. El usuario va a poder seleccionar una receta del apartado Mis recetas
2. Al seleccionarla, deberá aparecer un menú de información que muestra el contenido de la receta.
3. En dicho menú, el usuario tendrá la opción de publicar la receta.
4. En dicho menú, el usuario tendrá la opción de editar la receta.
5. En dicho menú, el usuario tendrá la opción de eliminar la receta de su cuenta.
6. En dicho menú, el usuario tendrá la opción de volver atrás sin seleccionar ninguna opción de las anteriores.</t>
  </si>
  <si>
    <t>Un usuario va a poder editar sus recetas</t>
  </si>
  <si>
    <t>1. Tras seleccionar una receta, el usuario tendrá la opción de editar la receta.
2. Si el usuario selecciona la opción de edición, tendrá acceso a la modificación de los diferentes campos de la receta.
3. Un campo obligatorio no podrá quedar vacío con la edición, de lo contrario, no dejará guardar la información.
4. Dentro de la edición, el usuario tendrá la opción de guardar o cancelar.
5. Debe mostrarse un elemento visual que indique que estás en modo edición.
6. Si un usuario guarda una receta con algún cambio, una vez se guarde la edición, se debe poder observar el cambio en dicha receta.</t>
  </si>
  <si>
    <t>Un usuario va a poder borrar sus recetas</t>
  </si>
  <si>
    <t>1. Tras seleccionar una receta, el usuario tendrá la opción de borrar dicha receta.
2. Tras seleccionar la opción de borrar receta, el usuario debe tener una opción de cancelar o confirmar la decisión.
3. Una vez confirmada la eliminación de una receta, esta no deberá aparecer en la lista de recetas del usuario automáticamente.
4. Una vez confirmada la eliminación de una receta, esta no deberá aparecer en la lista de recetas guardadas de ningún otro usuario.
5. Una vez confirmada la eliminación de una receta, esta no deberá aparecer en la lista de recetas de la comunidad para ningún usuario.
6. Debe mostrarse un elemento visual que indique que se ha borrado correctamente la receta.</t>
  </si>
  <si>
    <t>Un usuario va a poder publicar sus recetas</t>
  </si>
  <si>
    <t>1. Tras seleccionar una receta, el usuario tendrá la opción de publicar la receta.
2. Si el usuario selecciona la opción de publicar, esta receta deberá poder ser observada por el resto de usuarios en el apartado de la Comunidad.
3. Debe mostrarse un elemento visual que indique que se ha publicado la receta correctamente.
4. Tras seleccionar la opción de publicar receta, el usuario debe tener una opción de cancelar o confirmar la decisión.</t>
  </si>
  <si>
    <t>El usuario va a poder ver su perfil dentro del apartado de Perfil. Este apartado contendrá:
-email
-nombreUsuario
-foto (opcional)
-Valoración 
-Número de recetas publicadas
-Número de recetas propias
-Número de recetas guardadas</t>
  </si>
  <si>
    <t>1. Tras seleccionar la opción de ver el Perfil, el usuario va a poder acceder a un apartado diferente con información asociada al perfil.
2. Una vez dentro del apartado de Perfil, el usuario debe poder observar su email propio que identifica su cuenta.
3. Una vez dentro del apartado de Perfil, el usuario debe poder observar su nombre de usuario.
4. Una vez dentro del apartado de Perfil, el usuario debe poder observar su valoración general.
5. Una vez dentro del apartado de Perfil, el usuario debe poder observar su número de recetas publicadas.
6. Una vez dentro del apartado de Perfil, el usuario debe poder observar su número de recetas guardadas.
7. Una vez dentro del apartado de Perfil, el usuario debe poder observar su número de recetas propias.
8. Una vez dentro del apartado de Perfil, el usuario debe poder observar su foto en caso de tener.</t>
  </si>
  <si>
    <t>El usuario va a poder modificar el nombre de usuario y la foto de su perfil</t>
  </si>
  <si>
    <t>1. Dentro del apartado Perfil, debe existir una opción que permita entrar en modo edición.
2. En modo edición, se debe poder modificar el nombre de usuario y la foto.
3. En modo edición, no se debe poder modificar el resto de campos del perfil.
4. En modo edición, se debe sustituir la opción que permitía entrar en modo edición por una opción de guardar los cambios y otra de cancelar.
5. En modo edición, si se selecciona la opción de guardar los cambios,  el usuario volverá a la página de Perfil con los datos actualizados (se refrescará automáticamente) y dejará de estar en modo edición.
6. En modo edición, si se selecciona la opción de cancelar, se devolverá al estado de no edición y los cambios no se aplicarán aunque se haya introducido alguno.</t>
  </si>
  <si>
    <t>El usuario va a poder crear un menú semanal a partir de las recetas guardadas y propias</t>
  </si>
  <si>
    <t>1. Dentro del apartado menú semanal el usuario tendra la opción de crear un menú semanal
2. Si el usuario selecciona el botón de crear menú semanal deberan aparecer los 7 días de la semana con huecos vacíos para cada tipo de comida
3. En cada hueco vacío del menú semanal el usuario podra seleccionar entre sus recetas propias y guardadas y añadirla a dicho hueco seleccionados
4. En dicho hueco solo se le mostrarán las opciones de dichas recetas ya filtradas por el tipo de comida que se esté evaluando
5. Al querer salir de la opción de salir del apartado de creación del menú semanal debera existir una opción de "confirmar" y "cancelar"
6. 
7. 
8. Si existe un menú semanal al entrar al apartado de menú semanal deberá mostrarse dicho menú semanal</t>
  </si>
  <si>
    <t>Dentro del apartado de Menú semanal el usuario podra editarlo y borrarlo</t>
  </si>
  <si>
    <t>1. Si un usuario accede al apartado de menú semanal donde existe un menú semanal o más, debera tener la opción de poder editar cualquiera de los menús y/o borrarlo
2. Si un usuairo edita su propio menú deberá poder confirmar o cancelar los cambios realizados
3. Si un usuario confirma los cmabios realizados al menú semanal deberán poder observarse estos cambios tras confirmarlos
4. Si un usuario borra un menú semanal este dejará de aparecer en dicho apartado</t>
  </si>
  <si>
    <t>Dentro del apartado de Menú semanal el usuairo tendra la opción de crear un menú semanal de forma automatica</t>
  </si>
  <si>
    <t xml:space="preserve">1. Si un usuario accede al apartado de menú semanal deberá existir la opcion de crear de forma automatica
2. Si el usuario selecciona dicha opción se le mostrará un menú semanal creado de forma aleatoria donde podra confirmar o cancelar su creación
3. 
4. </t>
  </si>
  <si>
    <t>Dentro del apartado Comunidad y Recetas Guardadas un usuario podrá comentar las recetas de otros usuarios</t>
  </si>
  <si>
    <t>1. Si un usario accede al apartado Comunidad y Recetas Guardadas tendra la opción de comentar en las recetas de otros usuarios
2. Si un usuario selecciona dicha opción tendra la posibilidad de escribir dicho comentario y confirmar o no su publicación
3. Si el usuario confirma la publicación del comentario en la receta de otro usuario este comentario será visible al resto de usuarios que puedan observar esa receta
4. Si el usuario cancela la publicación del comentario este no se publicará y no será visible</t>
  </si>
  <si>
    <t>Dentro del apartado Comunidad y Recetas Guardadas un usuario podrá valorar las recetas de otros usuarios y se podrá observar la valoración media hasta el momento de cada receta</t>
  </si>
  <si>
    <t xml:space="preserve">1. Si un usario accede al apartado Comunidad tendra la opción de valorar las recetas de otros usuarios
2.  Si un usario accede al apartado Recetas Guardadas tendra la opción de valorar las recetas de otros usuarios
3. Si un usuario accede al apartado Comunidad podrá observar la valoración media entre las valoraciones totales de esa receta hasta el momento
4. Si un usuario accede al apartado Recetas Guardadas podrá observar la valoración media entre las valoraciones totales de esa receta hasta el momento
</t>
  </si>
  <si>
    <t>Si un usuario accede a su propio perfil podrá observar la valoración media de entre todas sus recetas valoradas por otros usuarios</t>
  </si>
  <si>
    <t>1. Si un usuario accede al apartado de su perfil podrá observar su valoración media de entre sus recetas valoradas
2. Si el usuario no tiene recetas valoradas por otros usuarios tendrá una valoración nula
3. Si un usuario valora la receta de otro usuario, la valoración de ese otro usuario se actualizará
4. La valoración propia de un usuario solo podrá ser vista por el propio usuario</t>
  </si>
  <si>
    <t>Filtrar por ingredientes, país, usuario, valoracion, dificultad, tiempo y turno de comida en el apartado comunidad.</t>
  </si>
  <si>
    <t xml:space="preserve">1. Si un usuario accede al apartado Comunidad tendrá una opción para poder filtrar
2. Si un usuario selecciona la opción de filtrar deberá aparecer un menú que muestre los diferentes filtros
3. Al seleccionar un filtro en específico si ese campo son valores libres (no tiene formato predefinido) se mostrará una barra de texto donde podrá introducir los valores a filtrar
4. Si el filtro seleccionado tiene un valor predefinido se le mostrará una lista con los valores disponibles
5. Se deberán poder guardar los filtros realizados. La página se resfrescará y mostrará la lista de recetas filtrada por lo seleccionado por el usuario
6. Se deberán poder borrar todos los filtros seleccionados asi como borrar indivualmente los que el usuario quiera.
</t>
  </si>
  <si>
    <t>Filtrar por ingredientes, país, usuario, valoracion, dificultad, tiempo y turno de comida en el apartado mis recetas</t>
  </si>
  <si>
    <t xml:space="preserve">1. Si un usuario accede al apartado Mis recetas tendrá una opción para poder filtrar
2. Si un usuario selecciona la opción de filtrar deberá aparecer un menú que muestre los diferentes filtros
3. Al seleccionar un filtro en específico si ese campo son valores libres (no tiene formato predefinido) se mostrará una barra de texto donde podrá introducir los valores a filtrar
4. Si el filtro seleccionado tiene un valor predefinido se le mostrará una lista con los valores disponibles
5. Se deberán poder guardar los filtros realizados. La página se resfrescará y mostrará la lista de recetas filtrada por lo seleccionado por el usuario
6. Se deberán poder borrar todos los filtros seleccionados asi como borrar indivualmente los que el usuario quiera.
</t>
  </si>
  <si>
    <t>Filtrar por ingredientes, país, usuario, valoracion, dificultad, tiempo y turno de comida en el apartado recetas guardadas.</t>
  </si>
  <si>
    <t xml:space="preserve">1. Si un usuario accede al apartado Recetas guardadas tendrá una opción para poder filtrar
2. Si un usuario selecciona la opción de filtrar deberá aparecer un menú que muestre los diferentes filtros
3. Al seleccionar un filtro en específico si ese campo son valores libres (no tiene formato predefinido) se mostrará una barra de texto donde podrá introducir los valores a filtrar
4. Si el filtro seleccionado tiene un valor predefinido se le mostrará una lista con los valores disponibles
5. Se deberán poder guardar los filtros realizados. La página se resfrescará y mostrará la lista de recetas filtrada por lo seleccionado por el usuario
6. Se deberán poder borrar todos los filtros seleccionados asi como borrar indivualmente los que el usuario quiera.
</t>
  </si>
  <si>
    <t>Al crear una nueva receta el turno de comida y deberá ser obligatorio</t>
  </si>
  <si>
    <t>1. Si un usuario crea una nueva receta deberá poder visualizarse un indicador de que el turno de comida es obligatorio seleccionarlo
2. Si un usuario confirma la receta sin seleccionar un turno de comida, esta receta no será creada y deberá existir un aviso de que deberá seleccionar un turno de comida para la misma
3. Si un usuario confirma la receta habiendo seleccionado un turno de comida para la misma, la receta se creará correctamente</t>
  </si>
  <si>
    <t>Modificación visual en el apartado Mi Perfil, que se muestre el nombre del propio usuario iniciado sesión en vez de "Perfil" en la barra de navegación y si el usuario cuenta con una foto debera observarse esta en vez de logo de "Perfil"</t>
  </si>
  <si>
    <t>Modificación visual al fondo de pantalla de las cards en el apartado "Recetas"</t>
  </si>
  <si>
    <t>Al observar una receta en el apartado de Comunidad o Recetas guardadas se debe poder guardar o desguardar sin necesidad de hacer click en la receta</t>
  </si>
  <si>
    <t xml:space="preserve">1. Si un usuario accede al apartado Comunidad deberá tener la opción de guardar la receta sin necesidad hacer click en la receta para entrar a la información
2. </t>
  </si>
  <si>
    <t>Si el usuario selecciona país de origen al crear/editar una receta le debe aparecer un desplegable con todos los países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</si>
</sst>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sz val="14"/>
      <color theme="1"/>
      <name val="Calibri"/>
      <family val="2"/>
      <scheme val="minor"/>
    </font>
    <font>
      <b/>
      <sz val="14"/>
      <color theme="0"/>
      <name val="Calibri"/>
      <family val="2"/>
      <scheme val="minor"/>
    </font>
    <font>
      <u/>
      <sz val="11"/>
      <color theme="1"/>
      <name val="Calibri"/>
      <family val="2"/>
      <scheme val="minor"/>
    </font>
    <font>
      <u/>
      <sz val="14"/>
      <color theme="1"/>
      <name val="Calibri"/>
      <family val="2"/>
      <scheme val="minor"/>
    </font>
    <font>
      <sz val="14"/>
      <color rgb="FF000000"/>
      <name val="Calibri"/>
      <charset val="1"/>
    </font>
    <font>
      <sz val="11"/>
      <color rgb="FF242424"/>
      <name val="Aptos Narrow"/>
      <charset val="1"/>
    </font>
  </fonts>
  <fills count="5">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rgb="FFDCE6F1"/>
        <bgColor rgb="FFDCE6F1"/>
      </patternFill>
    </fill>
  </fills>
  <borders count="8">
    <border>
      <left/>
      <right/>
      <top/>
      <bottom/>
      <diagonal/>
    </border>
    <border>
      <left/>
      <right/>
      <top style="thin">
        <color theme="4" tint="0.39997558519241921"/>
      </top>
      <bottom style="thin">
        <color theme="4" tint="0.39997558519241921"/>
      </bottom>
      <diagonal/>
    </border>
    <border>
      <left style="thin">
        <color rgb="FF95B3D7"/>
      </left>
      <right/>
      <top style="thin">
        <color rgb="FF95B3D7"/>
      </top>
      <bottom/>
      <diagonal/>
    </border>
    <border>
      <left/>
      <right/>
      <top style="thin">
        <color rgb="FF95B3D7"/>
      </top>
      <bottom/>
      <diagonal/>
    </border>
    <border>
      <left/>
      <right style="thin">
        <color rgb="FF95B3D7"/>
      </right>
      <top style="thin">
        <color rgb="FF95B3D7"/>
      </top>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s>
  <cellStyleXfs count="1">
    <xf numFmtId="0" fontId="0" fillId="0" borderId="0"/>
  </cellStyleXfs>
  <cellXfs count="41">
    <xf numFmtId="0" fontId="0" fillId="0" borderId="0" xfId="0"/>
    <xf numFmtId="0" fontId="1" fillId="0" borderId="0" xfId="0" applyFont="1" applyAlignment="1">
      <alignment horizontal="left" vertical="center" wrapText="1"/>
    </xf>
    <xf numFmtId="0" fontId="2" fillId="2" borderId="1" xfId="0" applyFont="1" applyFill="1" applyBorder="1" applyAlignment="1">
      <alignment horizontal="left" vertical="center" wrapText="1"/>
    </xf>
    <xf numFmtId="0" fontId="1" fillId="3" borderId="1" xfId="0" applyFont="1" applyFill="1" applyBorder="1" applyAlignment="1">
      <alignment horizontal="left" vertical="center" wrapText="1"/>
    </xf>
    <xf numFmtId="0" fontId="1" fillId="0" borderId="1" xfId="0" applyFont="1" applyBorder="1" applyAlignment="1">
      <alignment horizontal="left" vertical="center" wrapText="1"/>
    </xf>
    <xf numFmtId="0" fontId="1" fillId="0" borderId="0" xfId="0" applyFont="1" applyAlignment="1">
      <alignment horizontal="center" vertical="center" wrapText="1"/>
    </xf>
    <xf numFmtId="16" fontId="1" fillId="0" borderId="0" xfId="0" applyNumberFormat="1" applyFont="1" applyAlignment="1">
      <alignment horizontal="center" vertical="center" wrapText="1"/>
    </xf>
    <xf numFmtId="0" fontId="2"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0" borderId="1" xfId="0" applyFont="1" applyBorder="1" applyAlignment="1">
      <alignment horizontal="center" vertical="center" wrapText="1"/>
    </xf>
    <xf numFmtId="0" fontId="0" fillId="0" borderId="0" xfId="0" applyAlignment="1">
      <alignment horizontal="center"/>
    </xf>
    <xf numFmtId="0" fontId="1" fillId="4" borderId="2" xfId="0" applyFont="1" applyFill="1" applyBorder="1" applyAlignment="1">
      <alignment horizontal="left" vertical="center" wrapText="1"/>
    </xf>
    <xf numFmtId="0" fontId="1" fillId="4" borderId="3" xfId="0" applyFont="1" applyFill="1" applyBorder="1" applyAlignment="1">
      <alignment horizontal="left" vertical="center" wrapText="1"/>
    </xf>
    <xf numFmtId="0" fontId="1" fillId="4" borderId="3" xfId="0" applyFont="1" applyFill="1" applyBorder="1" applyAlignment="1">
      <alignment horizontal="center" vertical="center" wrapText="1"/>
    </xf>
    <xf numFmtId="0" fontId="1" fillId="4" borderId="4" xfId="0" applyFont="1" applyFill="1" applyBorder="1" applyAlignment="1">
      <alignment horizontal="left" vertical="center" wrapText="1"/>
    </xf>
    <xf numFmtId="16" fontId="1" fillId="4" borderId="3" xfId="0" applyNumberFormat="1" applyFont="1" applyFill="1" applyBorder="1" applyAlignment="1">
      <alignment horizontal="left" vertical="center" wrapText="1"/>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1" fillId="0" borderId="3" xfId="0" applyFont="1" applyBorder="1" applyAlignment="1">
      <alignment horizontal="center" vertical="center" wrapText="1"/>
    </xf>
    <xf numFmtId="0" fontId="1" fillId="0" borderId="4" xfId="0" applyFont="1" applyBorder="1" applyAlignment="1">
      <alignment horizontal="left" vertical="center" wrapText="1"/>
    </xf>
    <xf numFmtId="16" fontId="1" fillId="0" borderId="3" xfId="0" applyNumberFormat="1" applyFont="1" applyBorder="1" applyAlignment="1">
      <alignment horizontal="left" vertical="center" wrapText="1"/>
    </xf>
    <xf numFmtId="0" fontId="1" fillId="3" borderId="5" xfId="0" applyFont="1" applyFill="1" applyBorder="1" applyAlignment="1">
      <alignment horizontal="left" vertical="center" wrapText="1"/>
    </xf>
    <xf numFmtId="0" fontId="1" fillId="3" borderId="6" xfId="0" applyFont="1" applyFill="1" applyBorder="1" applyAlignment="1">
      <alignment horizontal="left" vertical="center" wrapText="1"/>
    </xf>
    <xf numFmtId="0" fontId="1" fillId="3" borderId="6" xfId="0" applyFont="1" applyFill="1" applyBorder="1" applyAlignment="1">
      <alignment horizontal="center" vertical="center" wrapText="1"/>
    </xf>
    <xf numFmtId="0" fontId="1" fillId="3" borderId="7" xfId="0" applyFont="1" applyFill="1" applyBorder="1" applyAlignment="1">
      <alignment horizontal="left" vertical="center" wrapText="1"/>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0" fontId="1" fillId="0" borderId="6" xfId="0" applyFont="1" applyBorder="1" applyAlignment="1">
      <alignment horizontal="center" vertical="center" wrapText="1"/>
    </xf>
    <xf numFmtId="16" fontId="1" fillId="0" borderId="3" xfId="0" applyNumberFormat="1" applyFont="1" applyBorder="1" applyAlignment="1">
      <alignment horizontal="center" vertical="center" wrapText="1"/>
    </xf>
    <xf numFmtId="16" fontId="1" fillId="3" borderId="6" xfId="0" applyNumberFormat="1" applyFont="1" applyFill="1" applyBorder="1" applyAlignment="1">
      <alignment horizontal="center" vertical="center" wrapText="1"/>
    </xf>
    <xf numFmtId="16" fontId="1" fillId="0" borderId="6" xfId="0" applyNumberFormat="1" applyFont="1" applyBorder="1" applyAlignment="1">
      <alignment horizontal="center" vertical="center" wrapText="1"/>
    </xf>
    <xf numFmtId="16" fontId="1" fillId="4" borderId="3" xfId="0" applyNumberFormat="1" applyFont="1" applyFill="1" applyBorder="1" applyAlignment="1">
      <alignment horizontal="center" vertical="center" wrapText="1"/>
    </xf>
    <xf numFmtId="0" fontId="3" fillId="0" borderId="0" xfId="0" applyFont="1" applyAlignment="1">
      <alignment horizontal="center"/>
    </xf>
    <xf numFmtId="0" fontId="4" fillId="0" borderId="1" xfId="0" applyFont="1" applyBorder="1" applyAlignment="1">
      <alignment horizontal="center" vertical="center" wrapText="1"/>
    </xf>
    <xf numFmtId="0" fontId="1" fillId="0" borderId="0" xfId="0" applyFont="1" applyAlignment="1">
      <alignment horizontal="center"/>
    </xf>
    <xf numFmtId="0" fontId="1" fillId="0" borderId="0" xfId="0" applyFont="1"/>
    <xf numFmtId="0" fontId="1" fillId="0" borderId="0" xfId="0" applyFont="1" applyAlignment="1">
      <alignment horizontal="center" vertical="center"/>
    </xf>
    <xf numFmtId="0" fontId="1" fillId="0" borderId="0" xfId="0" applyFont="1" applyAlignment="1">
      <alignment wrapText="1"/>
    </xf>
    <xf numFmtId="0" fontId="5" fillId="0" borderId="0" xfId="0" applyFont="1"/>
    <xf numFmtId="0" fontId="6" fillId="0" borderId="0" xfId="0" applyFont="1"/>
    <xf numFmtId="16" fontId="1" fillId="0" borderId="0" xfId="0" applyNumberFormat="1" applyFont="1" applyAlignment="1">
      <alignment horizontal="left" vertical="center" wrapText="1"/>
    </xf>
  </cellXfs>
  <cellStyles count="1">
    <cellStyle name="Normal" xfId="0" builtinId="0"/>
  </cellStyles>
  <dxfs count="61">
    <dxf>
      <font>
        <strike val="0"/>
        <outline val="0"/>
        <shadow val="0"/>
        <u val="none"/>
        <vertAlign val="baseline"/>
        <sz val="14"/>
        <color theme="1"/>
        <name val="Calibri"/>
        <family val="2"/>
        <scheme val="minor"/>
      </font>
      <alignment horizontal="center" vertical="center" textRotation="0" wrapText="1" indent="0" justifyLastLine="0" shrinkToFit="0" readingOrder="0"/>
    </dxf>
    <dxf>
      <font>
        <strike val="0"/>
        <outline val="0"/>
        <shadow val="0"/>
        <u val="none"/>
        <vertAlign val="baseline"/>
        <sz val="14"/>
        <color theme="1"/>
        <name val="Calibri"/>
        <family val="2"/>
        <scheme val="minor"/>
      </font>
      <alignment horizontal="left" vertical="center" textRotation="0" wrapText="1" indent="0" justifyLastLine="0" shrinkToFit="0" readingOrder="0"/>
    </dxf>
    <dxf>
      <font>
        <strike val="0"/>
        <outline val="0"/>
        <shadow val="0"/>
        <u val="none"/>
        <vertAlign val="baseline"/>
        <sz val="14"/>
        <color theme="1"/>
        <name val="Calibri"/>
        <family val="2"/>
        <scheme val="minor"/>
      </font>
      <alignment horizontal="left" vertical="center" textRotation="0" wrapText="1" indent="0" justifyLastLine="0" shrinkToFit="0" readingOrder="0"/>
    </dxf>
    <dxf>
      <font>
        <strike val="0"/>
        <outline val="0"/>
        <shadow val="0"/>
        <u val="none"/>
        <vertAlign val="baseline"/>
        <sz val="14"/>
        <color theme="1"/>
        <name val="Calibri"/>
        <family val="2"/>
        <scheme val="minor"/>
      </font>
      <alignment horizontal="left" vertical="center" textRotation="0" wrapText="1" indent="0" justifyLastLine="0" shrinkToFit="0" readingOrder="0"/>
    </dxf>
    <dxf>
      <font>
        <strike val="0"/>
        <outline val="0"/>
        <shadow val="0"/>
        <u val="none"/>
        <vertAlign val="baseline"/>
        <sz val="14"/>
        <color theme="1"/>
        <name val="Calibri"/>
        <family val="2"/>
        <scheme val="minor"/>
      </font>
      <alignment horizontal="left" vertical="center" textRotation="0" wrapText="1" indent="0" justifyLastLine="0" shrinkToFit="0" readingOrder="0"/>
    </dxf>
    <dxf>
      <font>
        <strike val="0"/>
        <outline val="0"/>
        <shadow val="0"/>
        <u val="none"/>
        <vertAlign val="baseline"/>
        <sz val="14"/>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4"/>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4"/>
        <color theme="1"/>
        <name val="Calibri"/>
        <family val="2"/>
        <scheme val="minor"/>
      </font>
      <alignment horizontal="left" vertical="center" textRotation="0" wrapText="1" indent="0" justifyLastLine="0" shrinkToFit="0" readingOrder="0"/>
      <border diagonalUp="0" diagonalDown="0">
        <left/>
        <right/>
        <top style="thin">
          <color rgb="FF95B3D7"/>
        </top>
        <bottom/>
        <vertical/>
        <horizontal/>
      </border>
    </dxf>
    <dxf>
      <font>
        <strike val="0"/>
        <outline val="0"/>
        <shadow val="0"/>
        <u val="none"/>
        <vertAlign val="baseline"/>
        <sz val="14"/>
        <color theme="1"/>
        <name val="Calibri"/>
        <family val="2"/>
        <scheme val="minor"/>
      </font>
      <alignment horizontal="left" vertical="center" textRotation="0" wrapText="1" indent="0" justifyLastLine="0" shrinkToFit="0" readingOrder="0"/>
    </dxf>
    <dxf>
      <font>
        <strike val="0"/>
        <outline val="0"/>
        <shadow val="0"/>
        <u val="none"/>
        <vertAlign val="baseline"/>
        <sz val="14"/>
        <color theme="1"/>
        <name val="Calibri"/>
        <family val="2"/>
        <scheme val="minor"/>
      </font>
      <alignment horizontal="left" vertical="center" textRotation="0" wrapText="1" indent="0" justifyLastLine="0" shrinkToFit="0" readingOrder="0"/>
    </dxf>
    <dxf>
      <font>
        <strike val="0"/>
        <outline val="0"/>
        <shadow val="0"/>
        <u val="none"/>
        <vertAlign val="baseline"/>
        <sz val="14"/>
        <color theme="1"/>
        <name val="Calibri"/>
        <family val="2"/>
        <scheme val="minor"/>
      </font>
      <alignment horizontal="left" vertical="center" textRotation="0" wrapText="1" indent="0" justifyLastLine="0" shrinkToFit="0" readingOrder="0"/>
    </dxf>
    <dxf>
      <font>
        <strike val="0"/>
        <outline val="0"/>
        <shadow val="0"/>
        <u val="none"/>
        <vertAlign val="baseline"/>
        <sz val="14"/>
        <color theme="1"/>
        <name val="Calibri"/>
        <family val="2"/>
        <scheme val="minor"/>
      </font>
      <alignment horizontal="left" vertical="center" textRotation="0" wrapText="1" indent="0" justifyLastLine="0" shrinkToFit="0" readingOrder="0"/>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patternType="solid">
          <fgColor rgb="FFE7E6E6"/>
          <bgColor rgb="FFE7E6E6"/>
        </patternFill>
      </fill>
    </dxf>
    <dxf>
      <fill>
        <patternFill patternType="solid">
          <fgColor rgb="FFF8CBAD"/>
          <bgColor rgb="FFF8CBAD"/>
        </patternFill>
      </fill>
    </dxf>
    <dxf>
      <fill>
        <patternFill patternType="solid">
          <fgColor rgb="FFFFF2CC"/>
          <bgColor rgb="FFFFF2CC"/>
        </patternFill>
      </fill>
    </dxf>
    <dxf>
      <fill>
        <patternFill patternType="solid">
          <fgColor rgb="FFC6EFCE"/>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patternType="solid">
          <fgColor rgb="FFF8CBAD"/>
          <bgColor rgb="FFF8CBAD"/>
        </patternFill>
      </fill>
    </dxf>
    <dxf>
      <fill>
        <patternFill patternType="solid">
          <fgColor rgb="FFFFF2CC"/>
          <bgColor rgb="FFFFF2CC"/>
        </patternFill>
      </fill>
    </dxf>
    <dxf>
      <fill>
        <patternFill patternType="solid">
          <fgColor rgb="FFC9DAF8"/>
          <bgColor rgb="FFC9DAF8"/>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patternType="solid">
          <fgColor rgb="FFF8CBAD"/>
          <bgColor rgb="FFF8CBAD"/>
        </patternFill>
      </fill>
    </dxf>
    <dxf>
      <fill>
        <patternFill patternType="solid">
          <fgColor rgb="FFFFF2CC"/>
          <bgColor rgb="FFFFF2CC"/>
        </patternFill>
      </fill>
    </dxf>
    <dxf>
      <fill>
        <patternFill patternType="solid">
          <fgColor rgb="FFC6EFCE"/>
          <bgColor rgb="FFC6EFCE"/>
        </patternFill>
      </fill>
    </dxf>
    <dxf>
      <fill>
        <patternFill patternType="solid">
          <fgColor rgb="FFF8CBAD"/>
          <bgColor rgb="FFF8CBAD"/>
        </patternFill>
      </fill>
    </dxf>
    <dxf>
      <fill>
        <patternFill patternType="solid">
          <fgColor rgb="FFFFF2CC"/>
          <bgColor rgb="FFFFF2CC"/>
        </patternFill>
      </fill>
    </dxf>
    <dxf>
      <fill>
        <patternFill patternType="solid">
          <fgColor rgb="FFC6EFCE"/>
          <bgColor rgb="FFC6EFCE"/>
        </patternFill>
      </fill>
    </dxf>
    <dxf>
      <fill>
        <patternFill patternType="solid">
          <fgColor rgb="FFF8CBAD"/>
          <bgColor rgb="FFF8CBAD"/>
        </patternFill>
      </fill>
    </dxf>
    <dxf>
      <fill>
        <patternFill patternType="solid">
          <fgColor rgb="FFFFF2CC"/>
          <bgColor rgb="FFFFF2CC"/>
        </patternFill>
      </fill>
    </dxf>
    <dxf>
      <fill>
        <patternFill patternType="solid">
          <fgColor rgb="FFC6EFCE"/>
          <bgColor rgb="FFC6EFCE"/>
        </patternFill>
      </fill>
    </dxf>
    <dxf>
      <fill>
        <patternFill patternType="solid">
          <fgColor rgb="FFF8CBAD"/>
          <bgColor rgb="FFF8CBAD"/>
        </patternFill>
      </fill>
    </dxf>
    <dxf>
      <fill>
        <patternFill patternType="solid">
          <fgColor rgb="FFFFF2CC"/>
          <bgColor rgb="FFFFF2CC"/>
        </patternFill>
      </fill>
    </dxf>
    <dxf>
      <fill>
        <patternFill patternType="solid">
          <fgColor rgb="FFC6EFCE"/>
          <bgColor rgb="FFC6EFCE"/>
        </patternFill>
      </fill>
    </dxf>
    <dxf>
      <fill>
        <patternFill patternType="solid">
          <fgColor rgb="FFF8CBAD"/>
          <bgColor rgb="FFF8CBAD"/>
        </patternFill>
      </fill>
    </dxf>
    <dxf>
      <fill>
        <patternFill patternType="solid">
          <fgColor rgb="FFFFF2CC"/>
          <bgColor rgb="FFFFF2CC"/>
        </patternFill>
      </fill>
    </dxf>
    <dxf>
      <fill>
        <patternFill patternType="solid">
          <fgColor rgb="FFC6EFCE"/>
          <bgColor rgb="FFC6EFCE"/>
        </patternFill>
      </fill>
    </dxf>
    <dxf>
      <fill>
        <patternFill patternType="solid">
          <fgColor rgb="FFF8CBAD"/>
          <bgColor rgb="FFF8CBAD"/>
        </patternFill>
      </fill>
    </dxf>
    <dxf>
      <fill>
        <patternFill patternType="solid">
          <fgColor rgb="FFFFF2CC"/>
          <bgColor rgb="FFFFF2CC"/>
        </patternFill>
      </fill>
    </dxf>
    <dxf>
      <fill>
        <patternFill patternType="solid">
          <fgColor rgb="FFC6EFCE"/>
          <bgColor rgb="FFC6EFCE"/>
        </patternFill>
      </fill>
    </dxf>
    <dxf>
      <fill>
        <patternFill patternType="solid">
          <fgColor rgb="FFF8CBAD"/>
          <bgColor rgb="FFF8CBAD"/>
        </patternFill>
      </fill>
    </dxf>
    <dxf>
      <fill>
        <patternFill patternType="solid">
          <fgColor rgb="FFFFF2CC"/>
          <bgColor rgb="FFFFF2CC"/>
        </patternFill>
      </fill>
    </dxf>
    <dxf>
      <fill>
        <patternFill patternType="solid">
          <fgColor rgb="FFC6EFCE"/>
          <bgColor rgb="FFC6EFCE"/>
        </patternFill>
      </fill>
    </dxf>
    <dxf>
      <fill>
        <patternFill patternType="solid">
          <fgColor rgb="FFF8CBAD"/>
          <bgColor rgb="FFF8CBAD"/>
        </patternFill>
      </fill>
    </dxf>
    <dxf>
      <fill>
        <patternFill patternType="solid">
          <fgColor rgb="FFFFF2CC"/>
          <bgColor rgb="FFFFF2CC"/>
        </patternFill>
      </fill>
    </dxf>
    <dxf>
      <fill>
        <patternFill patternType="solid">
          <fgColor rgb="FFC6EFCE"/>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aBacklog" displayName="TablaBacklog" ref="A1:H77" headerRowDxfId="11" dataDxfId="10" totalsRowDxfId="9">
  <autoFilter ref="A1:H77" xr:uid="{00000000-000C-0000-FFFF-FFFF00000000}">
    <filterColumn colId="6">
      <filters>
        <dateGroupItem year="2025" month="12" dateTimeGrouping="month"/>
      </filters>
    </filterColumn>
  </autoFilter>
  <tableColumns count="8">
    <tableColumn id="1" xr3:uid="{00000000-0010-0000-0000-000001000000}" name="Requisito" dataDxfId="8"/>
    <tableColumn id="5" xr3:uid="{702BA59E-E87C-AF43-BC72-116919A29E64}" name="Criterio de validacion" dataDxfId="7"/>
    <tableColumn id="2" xr3:uid="{6924BD28-A9A8-B84F-AE98-42459B25AAE0}" name="ID" dataDxfId="6"/>
    <tableColumn id="3" xr3:uid="{00000000-0010-0000-0000-000003000000}" name="Priority" dataDxfId="5"/>
    <tableColumn id="4" xr3:uid="{00000000-0010-0000-0000-000004000000}" name="Tiempo planning poker (horas)" dataDxfId="4"/>
    <tableColumn id="7" xr3:uid="{00000000-0010-0000-0000-000007000000}" name="Riesgo" dataDxfId="3"/>
    <tableColumn id="8" xr3:uid="{00000000-0010-0000-0000-000008000000}" name="Entrega" dataDxfId="2"/>
    <tableColumn id="12" xr3:uid="{2C9703D9-E678-1342-81C4-A1629A8FA8A2}" name="Estado" dataDxfId="0" totalsRow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E8B59A-7A92-E349-A281-22786FC7C0A0}">
  <dimension ref="A1:O119"/>
  <sheetViews>
    <sheetView topLeftCell="A108" zoomScale="75" zoomScaleNormal="100" workbookViewId="0">
      <selection activeCell="A119" sqref="A119"/>
    </sheetView>
  </sheetViews>
  <sheetFormatPr defaultColWidth="11.42578125" defaultRowHeight="15"/>
  <cols>
    <col min="1" max="1" width="48" customWidth="1"/>
    <col min="2" max="2" width="30.7109375" style="10" customWidth="1"/>
    <col min="3" max="3" width="35.140625" style="10" customWidth="1"/>
    <col min="4" max="4" width="36" style="10" customWidth="1"/>
    <col min="5" max="5" width="17.140625" style="10" customWidth="1"/>
    <col min="6" max="6" width="25.7109375" style="10" customWidth="1"/>
  </cols>
  <sheetData>
    <row r="1" spans="1:6" ht="20.100000000000001">
      <c r="A1" s="2" t="s">
        <v>0</v>
      </c>
      <c r="B1" s="7" t="s">
        <v>1</v>
      </c>
      <c r="C1" s="7" t="s">
        <v>2</v>
      </c>
      <c r="D1" s="7" t="s">
        <v>3</v>
      </c>
      <c r="E1" s="7" t="s">
        <v>4</v>
      </c>
      <c r="F1" s="7" t="s">
        <v>5</v>
      </c>
    </row>
    <row r="2" spans="1:6" ht="39.950000000000003">
      <c r="A2" s="3" t="s">
        <v>6</v>
      </c>
      <c r="B2" s="8">
        <f>+TablaBacklog[[#This Row],[ID]]</f>
        <v>1</v>
      </c>
      <c r="C2" s="8" t="s">
        <v>7</v>
      </c>
      <c r="D2" s="8" t="s">
        <v>8</v>
      </c>
      <c r="E2" s="8" t="s">
        <v>9</v>
      </c>
      <c r="F2" s="8" t="s">
        <v>10</v>
      </c>
    </row>
    <row r="3" spans="1:6" ht="20.100000000000001">
      <c r="A3" s="4" t="s">
        <v>11</v>
      </c>
      <c r="B3" s="9">
        <f>+Requisitos!C2</f>
        <v>1</v>
      </c>
      <c r="C3" s="9">
        <v>1</v>
      </c>
      <c r="D3" s="9" t="s">
        <v>8</v>
      </c>
      <c r="E3" s="9" t="s">
        <v>12</v>
      </c>
      <c r="F3" s="9" t="s">
        <v>10</v>
      </c>
    </row>
    <row r="4" spans="1:6" ht="20.100000000000001">
      <c r="A4" s="3" t="s">
        <v>11</v>
      </c>
      <c r="B4" s="8">
        <f>+Requisitos!C2</f>
        <v>1</v>
      </c>
      <c r="C4" s="8">
        <v>1</v>
      </c>
      <c r="D4" s="8" t="s">
        <v>8</v>
      </c>
      <c r="E4" s="8" t="s">
        <v>13</v>
      </c>
      <c r="F4" s="8" t="s">
        <v>10</v>
      </c>
    </row>
    <row r="5" spans="1:6" ht="20.100000000000001">
      <c r="A5" s="4" t="s">
        <v>11</v>
      </c>
      <c r="B5" s="9">
        <f>+Requisitos!C2</f>
        <v>1</v>
      </c>
      <c r="C5" s="9">
        <v>1</v>
      </c>
      <c r="D5" s="9" t="s">
        <v>8</v>
      </c>
      <c r="E5" s="9" t="s">
        <v>9</v>
      </c>
      <c r="F5" s="9" t="s">
        <v>10</v>
      </c>
    </row>
    <row r="6" spans="1:6" ht="39.950000000000003">
      <c r="A6" s="3" t="s">
        <v>14</v>
      </c>
      <c r="B6" s="8">
        <f>+Requisitos!C2</f>
        <v>1</v>
      </c>
      <c r="C6" s="8" t="s">
        <v>15</v>
      </c>
      <c r="D6" s="8" t="s">
        <v>16</v>
      </c>
      <c r="E6" s="8" t="s">
        <v>9</v>
      </c>
      <c r="F6" s="8" t="s">
        <v>10</v>
      </c>
    </row>
    <row r="7" spans="1:6" ht="39.950000000000003">
      <c r="A7" s="4" t="s">
        <v>17</v>
      </c>
      <c r="B7" s="9">
        <f>+Requisitos!C2</f>
        <v>1</v>
      </c>
      <c r="C7" s="9">
        <v>1</v>
      </c>
      <c r="D7" s="9" t="s">
        <v>7</v>
      </c>
      <c r="E7" s="9" t="s">
        <v>9</v>
      </c>
      <c r="F7" s="9" t="s">
        <v>10</v>
      </c>
    </row>
    <row r="8" spans="1:6" ht="20.100000000000001">
      <c r="A8" s="3" t="s">
        <v>11</v>
      </c>
      <c r="B8" s="8">
        <f>+Requisitos!C2</f>
        <v>1</v>
      </c>
      <c r="C8" s="8">
        <v>2</v>
      </c>
      <c r="D8" s="8">
        <v>1</v>
      </c>
      <c r="E8" s="8" t="s">
        <v>18</v>
      </c>
      <c r="F8" s="8" t="s">
        <v>10</v>
      </c>
    </row>
    <row r="9" spans="1:6" ht="20.100000000000001">
      <c r="A9" s="4" t="s">
        <v>11</v>
      </c>
      <c r="B9" s="9">
        <f>+Requisitos!C2</f>
        <v>1</v>
      </c>
      <c r="C9" s="9">
        <v>2</v>
      </c>
      <c r="D9" s="9">
        <v>1</v>
      </c>
      <c r="E9" s="9" t="s">
        <v>19</v>
      </c>
      <c r="F9" s="9" t="s">
        <v>10</v>
      </c>
    </row>
    <row r="10" spans="1:6" ht="20.100000000000001">
      <c r="A10" s="3" t="s">
        <v>11</v>
      </c>
      <c r="B10" s="8">
        <f>+Requisitos!C2</f>
        <v>1</v>
      </c>
      <c r="C10" s="8">
        <v>1</v>
      </c>
      <c r="D10" s="8">
        <v>1</v>
      </c>
      <c r="E10" s="8" t="s">
        <v>20</v>
      </c>
      <c r="F10" s="8" t="s">
        <v>10</v>
      </c>
    </row>
    <row r="11" spans="1:6" ht="39.950000000000003">
      <c r="A11" s="4" t="s">
        <v>21</v>
      </c>
      <c r="B11" s="9">
        <f>+Requisitos!C4</f>
        <v>3</v>
      </c>
      <c r="C11" s="9" t="s">
        <v>7</v>
      </c>
      <c r="D11" s="9" t="s">
        <v>8</v>
      </c>
      <c r="E11" s="9" t="s">
        <v>9</v>
      </c>
      <c r="F11" s="9" t="s">
        <v>10</v>
      </c>
    </row>
    <row r="12" spans="1:6" ht="20.100000000000001">
      <c r="A12" s="3" t="s">
        <v>22</v>
      </c>
      <c r="B12" s="8">
        <f>+Requisitos!C4</f>
        <v>3</v>
      </c>
      <c r="C12" s="8" t="s">
        <v>15</v>
      </c>
      <c r="D12" s="8" t="s">
        <v>16</v>
      </c>
      <c r="E12" s="8" t="s">
        <v>9</v>
      </c>
      <c r="F12" s="8" t="s">
        <v>10</v>
      </c>
    </row>
    <row r="13" spans="1:6" ht="39.950000000000003">
      <c r="A13" s="4" t="s">
        <v>23</v>
      </c>
      <c r="B13" s="9">
        <f>+Requisitos!C4</f>
        <v>3</v>
      </c>
      <c r="C13" s="9" t="s">
        <v>16</v>
      </c>
      <c r="D13" s="9" t="s">
        <v>24</v>
      </c>
      <c r="E13" s="9" t="s">
        <v>12</v>
      </c>
      <c r="F13" s="9" t="s">
        <v>10</v>
      </c>
    </row>
    <row r="14" spans="1:6" ht="39.950000000000003">
      <c r="A14" s="3" t="s">
        <v>25</v>
      </c>
      <c r="B14" s="8">
        <f>+Requisitos!C4</f>
        <v>3</v>
      </c>
      <c r="C14" s="8" t="s">
        <v>15</v>
      </c>
      <c r="D14" s="8" t="s">
        <v>8</v>
      </c>
      <c r="E14" s="8" t="s">
        <v>9</v>
      </c>
      <c r="F14" s="8" t="s">
        <v>10</v>
      </c>
    </row>
    <row r="15" spans="1:6" ht="39.950000000000003">
      <c r="A15" s="4" t="s">
        <v>26</v>
      </c>
      <c r="B15" s="9">
        <f>+Requisitos!C4</f>
        <v>3</v>
      </c>
      <c r="C15" s="9" t="s">
        <v>16</v>
      </c>
      <c r="D15" s="9" t="s">
        <v>15</v>
      </c>
      <c r="E15" s="9" t="s">
        <v>9</v>
      </c>
      <c r="F15" s="9" t="s">
        <v>10</v>
      </c>
    </row>
    <row r="16" spans="1:6" ht="39.950000000000003">
      <c r="A16" s="3" t="s">
        <v>27</v>
      </c>
      <c r="B16" s="8">
        <f>+Requisitos!C7</f>
        <v>6</v>
      </c>
      <c r="C16" s="8" t="s">
        <v>8</v>
      </c>
      <c r="D16" s="8" t="s">
        <v>7</v>
      </c>
      <c r="E16" s="8" t="s">
        <v>19</v>
      </c>
      <c r="F16" s="8" t="s">
        <v>10</v>
      </c>
    </row>
    <row r="17" spans="1:6" ht="39.950000000000003">
      <c r="A17" s="4" t="s">
        <v>28</v>
      </c>
      <c r="B17" s="9">
        <f>+Requisitos!C7</f>
        <v>6</v>
      </c>
      <c r="C17" s="9">
        <v>1</v>
      </c>
      <c r="D17" s="9">
        <v>2</v>
      </c>
      <c r="E17" s="9" t="s">
        <v>19</v>
      </c>
      <c r="F17" s="9" t="s">
        <v>10</v>
      </c>
    </row>
    <row r="18" spans="1:6" ht="20.100000000000001">
      <c r="A18" s="3" t="s">
        <v>29</v>
      </c>
      <c r="B18" s="8">
        <f>+Requisitos!C5</f>
        <v>4</v>
      </c>
      <c r="C18" s="8">
        <v>2</v>
      </c>
      <c r="D18" s="8">
        <v>1</v>
      </c>
      <c r="E18" s="8" t="s">
        <v>18</v>
      </c>
      <c r="F18" s="8" t="s">
        <v>10</v>
      </c>
    </row>
    <row r="19" spans="1:6" ht="20.100000000000001">
      <c r="A19" s="4" t="s">
        <v>30</v>
      </c>
      <c r="B19" s="9">
        <f>+Requisitos!C5</f>
        <v>4</v>
      </c>
      <c r="C19" s="9" t="s">
        <v>31</v>
      </c>
      <c r="D19" s="9" t="s">
        <v>8</v>
      </c>
      <c r="E19" s="9" t="s">
        <v>18</v>
      </c>
      <c r="F19" s="9" t="s">
        <v>10</v>
      </c>
    </row>
    <row r="20" spans="1:6" ht="20.100000000000001">
      <c r="A20" s="3" t="s">
        <v>32</v>
      </c>
      <c r="B20" s="8">
        <f>+Requisitos!C10</f>
        <v>9</v>
      </c>
      <c r="C20" s="8">
        <v>1</v>
      </c>
      <c r="D20" s="8" t="s">
        <v>7</v>
      </c>
      <c r="E20" s="8" t="s">
        <v>20</v>
      </c>
      <c r="F20" s="8" t="s">
        <v>10</v>
      </c>
    </row>
    <row r="21" spans="1:6" ht="39.950000000000003">
      <c r="A21" s="4" t="s">
        <v>33</v>
      </c>
      <c r="B21" s="9">
        <f>+Requisitos!C10</f>
        <v>9</v>
      </c>
      <c r="C21" s="9" t="s">
        <v>7</v>
      </c>
      <c r="D21" s="9" t="s">
        <v>7</v>
      </c>
      <c r="E21" s="9" t="s">
        <v>9</v>
      </c>
      <c r="F21" s="9" t="s">
        <v>10</v>
      </c>
    </row>
    <row r="22" spans="1:6" ht="39.950000000000003">
      <c r="A22" s="3" t="s">
        <v>34</v>
      </c>
      <c r="B22" s="8">
        <f>+Requisitos!C10</f>
        <v>9</v>
      </c>
      <c r="C22" s="8" t="s">
        <v>7</v>
      </c>
      <c r="D22" s="8" t="s">
        <v>35</v>
      </c>
      <c r="E22" s="8" t="s">
        <v>9</v>
      </c>
      <c r="F22" s="8" t="s">
        <v>10</v>
      </c>
    </row>
    <row r="23" spans="1:6" ht="20.100000000000001">
      <c r="A23" s="4" t="s">
        <v>36</v>
      </c>
      <c r="B23" s="9">
        <f>+Requisitos!C2</f>
        <v>1</v>
      </c>
      <c r="C23" s="9" t="s">
        <v>7</v>
      </c>
      <c r="D23" s="9">
        <v>1</v>
      </c>
      <c r="E23" s="9" t="s">
        <v>20</v>
      </c>
      <c r="F23" s="9" t="s">
        <v>10</v>
      </c>
    </row>
    <row r="24" spans="1:6" ht="20.100000000000001">
      <c r="A24" s="3" t="s">
        <v>36</v>
      </c>
      <c r="B24" s="8">
        <f>+Requisitos!C2</f>
        <v>1</v>
      </c>
      <c r="C24" s="8">
        <v>1</v>
      </c>
      <c r="D24" s="8" t="s">
        <v>37</v>
      </c>
      <c r="E24" s="8" t="s">
        <v>18</v>
      </c>
      <c r="F24" s="8" t="s">
        <v>10</v>
      </c>
    </row>
    <row r="25" spans="1:6" ht="39.950000000000003">
      <c r="A25" s="4" t="s">
        <v>38</v>
      </c>
      <c r="B25" s="9">
        <f>+Requisitos!C10</f>
        <v>9</v>
      </c>
      <c r="C25" s="9" t="s">
        <v>8</v>
      </c>
      <c r="D25" s="9" t="s">
        <v>35</v>
      </c>
      <c r="E25" s="9" t="s">
        <v>20</v>
      </c>
      <c r="F25" s="9" t="s">
        <v>10</v>
      </c>
    </row>
    <row r="26" spans="1:6" ht="20.100000000000001">
      <c r="A26" s="3" t="s">
        <v>39</v>
      </c>
      <c r="B26" s="8"/>
      <c r="C26" s="8" t="s">
        <v>7</v>
      </c>
      <c r="D26" s="8" t="s">
        <v>31</v>
      </c>
      <c r="E26" s="8" t="s">
        <v>9</v>
      </c>
      <c r="F26" s="8" t="s">
        <v>10</v>
      </c>
    </row>
    <row r="27" spans="1:6" ht="39.950000000000003">
      <c r="A27" s="4" t="s">
        <v>40</v>
      </c>
      <c r="B27" s="9">
        <f>+Requisitos!C20</f>
        <v>19</v>
      </c>
      <c r="C27" s="9">
        <v>1</v>
      </c>
      <c r="D27" s="9" t="s">
        <v>7</v>
      </c>
      <c r="E27" s="9" t="s">
        <v>13</v>
      </c>
      <c r="F27" s="9" t="s">
        <v>10</v>
      </c>
    </row>
    <row r="28" spans="1:6" ht="39.950000000000003">
      <c r="A28" s="3" t="s">
        <v>41</v>
      </c>
      <c r="B28" s="8">
        <f>+Requisitos!C20</f>
        <v>19</v>
      </c>
      <c r="C28" s="8" t="s">
        <v>31</v>
      </c>
      <c r="D28" s="8" t="s">
        <v>16</v>
      </c>
      <c r="E28" s="8" t="s">
        <v>13</v>
      </c>
      <c r="F28" s="8" t="s">
        <v>10</v>
      </c>
    </row>
    <row r="29" spans="1:6" ht="20.100000000000001">
      <c r="A29" s="4" t="s">
        <v>42</v>
      </c>
      <c r="B29" s="9">
        <f>+Requisitos!C5</f>
        <v>4</v>
      </c>
      <c r="C29" s="9" t="s">
        <v>7</v>
      </c>
      <c r="D29" s="9">
        <v>1</v>
      </c>
      <c r="E29" s="9" t="s">
        <v>18</v>
      </c>
      <c r="F29" s="9" t="s">
        <v>10</v>
      </c>
    </row>
    <row r="30" spans="1:6" ht="39.950000000000003">
      <c r="A30" s="3" t="s">
        <v>43</v>
      </c>
      <c r="B30" s="8">
        <f>+Requisitos!C20</f>
        <v>19</v>
      </c>
      <c r="C30" s="8">
        <v>1</v>
      </c>
      <c r="D30" s="8" t="s">
        <v>31</v>
      </c>
      <c r="E30" s="8" t="s">
        <v>9</v>
      </c>
      <c r="F30" s="8" t="s">
        <v>10</v>
      </c>
    </row>
    <row r="31" spans="1:6" ht="39.950000000000003">
      <c r="A31" s="4" t="s">
        <v>44</v>
      </c>
      <c r="B31" s="9">
        <f>+Requisitos!C20</f>
        <v>19</v>
      </c>
      <c r="C31" s="9" t="s">
        <v>7</v>
      </c>
      <c r="D31" s="9">
        <v>1</v>
      </c>
      <c r="E31" s="9" t="s">
        <v>9</v>
      </c>
      <c r="F31" s="9" t="s">
        <v>10</v>
      </c>
    </row>
    <row r="32" spans="1:6" ht="60">
      <c r="A32" s="3" t="s">
        <v>45</v>
      </c>
      <c r="B32" s="8">
        <f>+Requisitos!C20</f>
        <v>19</v>
      </c>
      <c r="C32" s="8" t="s">
        <v>8</v>
      </c>
      <c r="D32" s="8">
        <v>1</v>
      </c>
      <c r="E32" s="8" t="s">
        <v>9</v>
      </c>
      <c r="F32" s="8" t="s">
        <v>10</v>
      </c>
    </row>
    <row r="33" spans="1:6" ht="20.100000000000001">
      <c r="A33" s="4" t="s">
        <v>46</v>
      </c>
      <c r="B33" s="9">
        <f>+Requisitos!C11</f>
        <v>10</v>
      </c>
      <c r="C33" s="9" t="s">
        <v>8</v>
      </c>
      <c r="D33" s="9" t="s">
        <v>7</v>
      </c>
      <c r="E33" s="9" t="s">
        <v>12</v>
      </c>
      <c r="F33" s="9" t="s">
        <v>10</v>
      </c>
    </row>
    <row r="34" spans="1:6" ht="39.950000000000003">
      <c r="A34" s="3" t="s">
        <v>47</v>
      </c>
      <c r="B34" s="8">
        <f>+Requisitos!C11</f>
        <v>10</v>
      </c>
      <c r="C34" s="8">
        <v>1</v>
      </c>
      <c r="D34" s="8" t="s">
        <v>37</v>
      </c>
      <c r="E34" s="8" t="s">
        <v>12</v>
      </c>
      <c r="F34" s="8" t="s">
        <v>10</v>
      </c>
    </row>
    <row r="35" spans="1:6" ht="39.950000000000003">
      <c r="A35" s="4" t="s">
        <v>48</v>
      </c>
      <c r="B35" s="9">
        <f>+Requisitos!C11</f>
        <v>10</v>
      </c>
      <c r="C35" s="9">
        <v>2</v>
      </c>
      <c r="D35" s="9">
        <v>3</v>
      </c>
      <c r="E35" s="9" t="s">
        <v>12</v>
      </c>
      <c r="F35" s="9" t="s">
        <v>10</v>
      </c>
    </row>
    <row r="36" spans="1:6" ht="39.950000000000003">
      <c r="A36" s="3" t="s">
        <v>49</v>
      </c>
      <c r="B36" s="8">
        <f>+Requisitos!C21</f>
        <v>20</v>
      </c>
      <c r="C36" s="8">
        <v>1</v>
      </c>
      <c r="D36" s="8">
        <v>2</v>
      </c>
      <c r="E36" s="8" t="s">
        <v>19</v>
      </c>
      <c r="F36" s="8" t="s">
        <v>10</v>
      </c>
    </row>
    <row r="37" spans="1:6" ht="39.950000000000003">
      <c r="A37" s="4" t="s">
        <v>50</v>
      </c>
      <c r="B37" s="9">
        <f>+Requisitos!C21</f>
        <v>20</v>
      </c>
      <c r="C37" s="9" t="s">
        <v>37</v>
      </c>
      <c r="D37" s="9" t="s">
        <v>51</v>
      </c>
      <c r="E37" s="9" t="s">
        <v>19</v>
      </c>
      <c r="F37" s="9" t="s">
        <v>10</v>
      </c>
    </row>
    <row r="38" spans="1:6" ht="20.100000000000001">
      <c r="A38" s="4" t="s">
        <v>52</v>
      </c>
      <c r="B38" s="9">
        <f>+Requisitos!C12</f>
        <v>11</v>
      </c>
      <c r="C38" s="9">
        <v>2</v>
      </c>
      <c r="D38" s="9">
        <v>1</v>
      </c>
      <c r="E38" s="9" t="s">
        <v>13</v>
      </c>
      <c r="F38" s="9" t="s">
        <v>10</v>
      </c>
    </row>
    <row r="39" spans="1:6" ht="20.100000000000001">
      <c r="A39" s="3" t="s">
        <v>53</v>
      </c>
      <c r="B39" s="8">
        <f>+Requisitos!C12</f>
        <v>11</v>
      </c>
      <c r="C39" s="8" t="s">
        <v>7</v>
      </c>
      <c r="D39" s="8" t="s">
        <v>7</v>
      </c>
      <c r="E39" s="8" t="s">
        <v>13</v>
      </c>
      <c r="F39" s="8" t="s">
        <v>10</v>
      </c>
    </row>
    <row r="40" spans="1:6" ht="39.950000000000003">
      <c r="A40" s="4" t="s">
        <v>54</v>
      </c>
      <c r="B40" s="9">
        <f>+Requisitos!C12</f>
        <v>11</v>
      </c>
      <c r="C40" s="9" t="s">
        <v>7</v>
      </c>
      <c r="D40" s="9" t="s">
        <v>7</v>
      </c>
      <c r="E40" s="9" t="s">
        <v>13</v>
      </c>
      <c r="F40" s="9" t="s">
        <v>10</v>
      </c>
    </row>
    <row r="41" spans="1:6" ht="39.950000000000003">
      <c r="A41" s="3" t="s">
        <v>48</v>
      </c>
      <c r="B41" s="8">
        <f>+Requisitos!C12</f>
        <v>11</v>
      </c>
      <c r="C41" s="8" t="s">
        <v>7</v>
      </c>
      <c r="D41" s="8">
        <v>3</v>
      </c>
      <c r="E41" s="8" t="s">
        <v>13</v>
      </c>
      <c r="F41" s="8" t="s">
        <v>10</v>
      </c>
    </row>
    <row r="42" spans="1:6" ht="39.950000000000003">
      <c r="A42" s="4" t="s">
        <v>55</v>
      </c>
      <c r="B42" s="9">
        <f>+Requisitos!C11</f>
        <v>10</v>
      </c>
      <c r="C42" s="9" t="s">
        <v>31</v>
      </c>
      <c r="D42" s="9" t="s">
        <v>7</v>
      </c>
      <c r="E42" s="9" t="s">
        <v>9</v>
      </c>
      <c r="F42" s="9" t="s">
        <v>10</v>
      </c>
    </row>
    <row r="43" spans="1:6" ht="20.100000000000001">
      <c r="A43" s="3" t="s">
        <v>56</v>
      </c>
      <c r="B43" s="8">
        <f>+Requisitos!C12</f>
        <v>11</v>
      </c>
      <c r="C43" s="8">
        <v>1</v>
      </c>
      <c r="D43" s="8" t="s">
        <v>7</v>
      </c>
      <c r="E43" s="8" t="s">
        <v>9</v>
      </c>
      <c r="F43" s="8" t="s">
        <v>10</v>
      </c>
    </row>
    <row r="44" spans="1:6" ht="20.100000000000001">
      <c r="A44" s="4" t="s">
        <v>57</v>
      </c>
      <c r="B44" s="9">
        <f>+Requisitos!C12</f>
        <v>11</v>
      </c>
      <c r="C44" s="9" t="s">
        <v>7</v>
      </c>
      <c r="D44" s="9" t="s">
        <v>7</v>
      </c>
      <c r="E44" s="9" t="s">
        <v>9</v>
      </c>
      <c r="F44" s="9" t="s">
        <v>10</v>
      </c>
    </row>
    <row r="45" spans="1:6" ht="39.950000000000003">
      <c r="A45" s="3" t="s">
        <v>58</v>
      </c>
      <c r="B45" s="8">
        <f>+Requisitos!C10</f>
        <v>9</v>
      </c>
      <c r="C45" s="8">
        <v>1</v>
      </c>
      <c r="D45" s="8" t="s">
        <v>16</v>
      </c>
      <c r="E45" s="8" t="s">
        <v>9</v>
      </c>
      <c r="F45" s="8" t="s">
        <v>10</v>
      </c>
    </row>
    <row r="46" spans="1:6" ht="39.950000000000003">
      <c r="A46" s="4" t="s">
        <v>59</v>
      </c>
      <c r="B46" s="9">
        <f>+Requisitos!C10</f>
        <v>9</v>
      </c>
      <c r="C46" s="9" t="s">
        <v>31</v>
      </c>
      <c r="D46" s="9" t="s">
        <v>16</v>
      </c>
      <c r="E46" s="9" t="s">
        <v>9</v>
      </c>
      <c r="F46" s="9" t="s">
        <v>10</v>
      </c>
    </row>
    <row r="47" spans="1:6" ht="39.950000000000003">
      <c r="A47" s="3" t="s">
        <v>60</v>
      </c>
      <c r="B47" s="8">
        <f>+Requisitos!C37</f>
        <v>36</v>
      </c>
      <c r="C47" s="8" t="s">
        <v>8</v>
      </c>
      <c r="D47" s="8" t="s">
        <v>16</v>
      </c>
      <c r="E47" s="8" t="s">
        <v>9</v>
      </c>
      <c r="F47" s="8" t="s">
        <v>10</v>
      </c>
    </row>
    <row r="48" spans="1:6" ht="39.950000000000003">
      <c r="A48" s="4" t="s">
        <v>61</v>
      </c>
      <c r="B48" s="9"/>
      <c r="C48" s="9">
        <v>2</v>
      </c>
      <c r="D48" s="9"/>
      <c r="E48" s="9" t="s">
        <v>9</v>
      </c>
      <c r="F48" s="9" t="s">
        <v>10</v>
      </c>
    </row>
    <row r="49" spans="1:6" ht="20.100000000000001">
      <c r="A49" s="3" t="s">
        <v>62</v>
      </c>
      <c r="B49" s="8">
        <f>+Requisitos!C41</f>
        <v>39</v>
      </c>
      <c r="C49" s="8" t="s">
        <v>8</v>
      </c>
      <c r="D49" s="8" t="s">
        <v>16</v>
      </c>
      <c r="E49" s="8" t="s">
        <v>13</v>
      </c>
      <c r="F49" s="8" t="s">
        <v>10</v>
      </c>
    </row>
    <row r="50" spans="1:6" ht="39.950000000000003">
      <c r="A50" s="4" t="s">
        <v>63</v>
      </c>
      <c r="B50" s="9">
        <f>+Requisitos!C41</f>
        <v>39</v>
      </c>
      <c r="C50" s="9" t="s">
        <v>7</v>
      </c>
      <c r="D50" s="9" t="s">
        <v>8</v>
      </c>
      <c r="E50" s="9" t="s">
        <v>13</v>
      </c>
      <c r="F50" s="9" t="s">
        <v>10</v>
      </c>
    </row>
    <row r="51" spans="1:6" ht="60">
      <c r="A51" s="3" t="s">
        <v>64</v>
      </c>
      <c r="B51" s="8">
        <f>+Requisitos!C41</f>
        <v>39</v>
      </c>
      <c r="C51" s="8">
        <v>1</v>
      </c>
      <c r="D51" s="8" t="s">
        <v>7</v>
      </c>
      <c r="E51" s="8" t="s">
        <v>13</v>
      </c>
      <c r="F51" s="8" t="s">
        <v>10</v>
      </c>
    </row>
    <row r="52" spans="1:6" ht="39.950000000000003">
      <c r="A52" s="4" t="s">
        <v>65</v>
      </c>
      <c r="B52" s="9">
        <f>+Requisitos!C41</f>
        <v>39</v>
      </c>
      <c r="C52" s="9" t="s">
        <v>31</v>
      </c>
      <c r="D52" s="9" t="s">
        <v>8</v>
      </c>
      <c r="E52" s="9" t="s">
        <v>13</v>
      </c>
      <c r="F52" s="9" t="s">
        <v>10</v>
      </c>
    </row>
    <row r="53" spans="1:6" ht="39.950000000000003">
      <c r="A53" s="3" t="s">
        <v>66</v>
      </c>
      <c r="B53" s="8">
        <f>+Requisitos!C41</f>
        <v>39</v>
      </c>
      <c r="C53" s="8" t="s">
        <v>31</v>
      </c>
      <c r="D53" s="8" t="s">
        <v>16</v>
      </c>
      <c r="E53" s="8" t="s">
        <v>13</v>
      </c>
      <c r="F53" s="8" t="s">
        <v>10</v>
      </c>
    </row>
    <row r="54" spans="1:6" ht="57">
      <c r="A54" s="4" t="s">
        <v>67</v>
      </c>
      <c r="B54" s="9">
        <v>46</v>
      </c>
      <c r="C54" s="9" t="s">
        <v>7</v>
      </c>
      <c r="D54" s="9">
        <v>1</v>
      </c>
      <c r="E54" s="9" t="s">
        <v>12</v>
      </c>
      <c r="F54" s="9" t="s">
        <v>10</v>
      </c>
    </row>
    <row r="55" spans="1:6" ht="57">
      <c r="A55" s="3" t="s">
        <v>68</v>
      </c>
      <c r="B55" s="8">
        <v>46</v>
      </c>
      <c r="C55" s="8" t="s">
        <v>7</v>
      </c>
      <c r="D55" s="8">
        <v>1</v>
      </c>
      <c r="E55" s="8" t="s">
        <v>12</v>
      </c>
      <c r="F55" s="8" t="s">
        <v>10</v>
      </c>
    </row>
    <row r="56" spans="1:6" ht="57">
      <c r="A56" s="4" t="s">
        <v>69</v>
      </c>
      <c r="B56" s="9">
        <v>46</v>
      </c>
      <c r="C56" s="9" t="s">
        <v>31</v>
      </c>
      <c r="D56" s="9" t="s">
        <v>8</v>
      </c>
      <c r="E56" s="9" t="s">
        <v>12</v>
      </c>
      <c r="F56" s="9" t="s">
        <v>10</v>
      </c>
    </row>
    <row r="57" spans="1:6" ht="37.5">
      <c r="A57" s="3" t="s">
        <v>70</v>
      </c>
      <c r="B57" s="8">
        <v>47</v>
      </c>
      <c r="C57" s="8" t="s">
        <v>7</v>
      </c>
      <c r="D57" s="8">
        <v>1</v>
      </c>
      <c r="E57" s="8" t="s">
        <v>12</v>
      </c>
      <c r="F57" s="8" t="s">
        <v>10</v>
      </c>
    </row>
    <row r="58" spans="1:6" ht="57">
      <c r="A58" s="4" t="s">
        <v>71</v>
      </c>
      <c r="B58" s="9">
        <v>47</v>
      </c>
      <c r="C58" s="9" t="s">
        <v>7</v>
      </c>
      <c r="D58" s="9">
        <v>1</v>
      </c>
      <c r="E58" s="9" t="s">
        <v>12</v>
      </c>
      <c r="F58" s="9" t="s">
        <v>10</v>
      </c>
    </row>
    <row r="59" spans="1:6" ht="57">
      <c r="A59" s="3" t="s">
        <v>72</v>
      </c>
      <c r="B59" s="8">
        <v>47</v>
      </c>
      <c r="C59" s="8" t="s">
        <v>7</v>
      </c>
      <c r="D59" s="8">
        <v>1</v>
      </c>
      <c r="E59" s="8" t="s">
        <v>12</v>
      </c>
      <c r="F59" s="8" t="s">
        <v>10</v>
      </c>
    </row>
    <row r="60" spans="1:6" ht="37.5">
      <c r="A60" s="4" t="s">
        <v>73</v>
      </c>
      <c r="B60" s="9">
        <f>+Requisitos!C41</f>
        <v>39</v>
      </c>
      <c r="C60" s="9" t="s">
        <v>7</v>
      </c>
      <c r="D60" s="9" t="s">
        <v>74</v>
      </c>
      <c r="E60" s="9" t="s">
        <v>13</v>
      </c>
      <c r="F60" s="9" t="s">
        <v>10</v>
      </c>
    </row>
    <row r="61" spans="1:6" ht="57">
      <c r="A61" s="3" t="s">
        <v>75</v>
      </c>
      <c r="B61" s="8">
        <f>+Requisitos!C42</f>
        <v>40</v>
      </c>
      <c r="C61" s="8" t="s">
        <v>31</v>
      </c>
      <c r="D61" s="8" t="s">
        <v>16</v>
      </c>
      <c r="E61" s="8" t="s">
        <v>19</v>
      </c>
      <c r="F61" s="8" t="s">
        <v>10</v>
      </c>
    </row>
    <row r="62" spans="1:6" ht="37.5">
      <c r="A62" s="4" t="s">
        <v>76</v>
      </c>
      <c r="B62" s="9">
        <f>+Requisitos!C42</f>
        <v>40</v>
      </c>
      <c r="C62" s="9" t="s">
        <v>31</v>
      </c>
      <c r="D62" s="9" t="s">
        <v>8</v>
      </c>
      <c r="E62" s="9" t="s">
        <v>19</v>
      </c>
      <c r="F62" s="9" t="s">
        <v>10</v>
      </c>
    </row>
    <row r="63" spans="1:6" ht="37.5">
      <c r="A63" s="3" t="s">
        <v>77</v>
      </c>
      <c r="B63" s="8">
        <f>+Requisitos!C43</f>
        <v>41</v>
      </c>
      <c r="C63" s="8" t="s">
        <v>8</v>
      </c>
      <c r="D63" s="8" t="s">
        <v>7</v>
      </c>
      <c r="E63" s="8" t="s">
        <v>13</v>
      </c>
      <c r="F63" s="8" t="s">
        <v>10</v>
      </c>
    </row>
    <row r="64" spans="1:6" ht="37.5">
      <c r="A64" s="4" t="s">
        <v>78</v>
      </c>
      <c r="B64" s="9">
        <v>46</v>
      </c>
      <c r="C64" s="9" t="s">
        <v>7</v>
      </c>
      <c r="D64" s="9" t="s">
        <v>35</v>
      </c>
      <c r="E64" s="9" t="s">
        <v>12</v>
      </c>
      <c r="F64" s="9" t="s">
        <v>10</v>
      </c>
    </row>
    <row r="65" spans="1:15" ht="37.5">
      <c r="A65" s="3" t="s">
        <v>79</v>
      </c>
      <c r="B65" s="8">
        <v>47</v>
      </c>
      <c r="C65" s="8" t="s">
        <v>7</v>
      </c>
      <c r="D65" s="8" t="s">
        <v>35</v>
      </c>
      <c r="E65" s="8" t="s">
        <v>12</v>
      </c>
      <c r="F65" s="8" t="s">
        <v>10</v>
      </c>
    </row>
    <row r="66" spans="1:15" ht="37.5">
      <c r="A66" s="4" t="s">
        <v>80</v>
      </c>
      <c r="B66" s="9">
        <f>+Requisitos!C48</f>
        <v>50</v>
      </c>
      <c r="C66" s="9">
        <v>1</v>
      </c>
      <c r="D66" s="33" t="s">
        <v>7</v>
      </c>
      <c r="E66" s="9" t="s">
        <v>20</v>
      </c>
      <c r="F66" s="9" t="s">
        <v>10</v>
      </c>
    </row>
    <row r="67" spans="1:15" ht="57">
      <c r="A67" s="3" t="s">
        <v>81</v>
      </c>
      <c r="B67" s="8">
        <f>+Requisitos!C44</f>
        <v>42</v>
      </c>
      <c r="C67" s="8" t="s">
        <v>82</v>
      </c>
      <c r="D67" s="8" t="s">
        <v>83</v>
      </c>
      <c r="E67" s="8" t="s">
        <v>20</v>
      </c>
      <c r="F67" s="8" t="s">
        <v>10</v>
      </c>
    </row>
    <row r="68" spans="1:15" ht="37.5">
      <c r="A68" s="4" t="s">
        <v>84</v>
      </c>
      <c r="B68" s="9">
        <f>+Requisitos!C44</f>
        <v>42</v>
      </c>
      <c r="C68" s="9" t="s">
        <v>82</v>
      </c>
      <c r="D68" s="9" t="s">
        <v>7</v>
      </c>
      <c r="E68" s="9" t="s">
        <v>20</v>
      </c>
      <c r="F68" s="9" t="s">
        <v>10</v>
      </c>
    </row>
    <row r="69" spans="1:15" ht="57">
      <c r="A69" s="3" t="s">
        <v>85</v>
      </c>
      <c r="B69" s="8">
        <f>+Requisitos!C44</f>
        <v>42</v>
      </c>
      <c r="C69" s="8" t="s">
        <v>7</v>
      </c>
      <c r="D69" s="8" t="s">
        <v>86</v>
      </c>
      <c r="E69" s="8" t="s">
        <v>20</v>
      </c>
      <c r="F69" s="8" t="s">
        <v>10</v>
      </c>
    </row>
    <row r="70" spans="1:15" ht="37.5">
      <c r="A70" s="4" t="s">
        <v>87</v>
      </c>
      <c r="B70" s="9"/>
      <c r="C70" s="9" t="s">
        <v>7</v>
      </c>
      <c r="D70" s="9">
        <v>3</v>
      </c>
      <c r="E70" s="9" t="s">
        <v>12</v>
      </c>
      <c r="F70" s="9" t="s">
        <v>10</v>
      </c>
    </row>
    <row r="71" spans="1:15" ht="37.5">
      <c r="A71" s="3" t="s">
        <v>88</v>
      </c>
      <c r="B71" s="8"/>
      <c r="C71" s="8" t="s">
        <v>89</v>
      </c>
      <c r="D71" s="8">
        <v>1</v>
      </c>
      <c r="E71" s="8" t="s">
        <v>12</v>
      </c>
      <c r="F71" s="8" t="s">
        <v>10</v>
      </c>
    </row>
    <row r="72" spans="1:15" ht="37.5">
      <c r="A72" s="4" t="s">
        <v>90</v>
      </c>
      <c r="B72" s="9"/>
      <c r="C72" s="9" t="s">
        <v>7</v>
      </c>
      <c r="D72" s="9">
        <v>2</v>
      </c>
      <c r="E72" s="9" t="s">
        <v>12</v>
      </c>
      <c r="F72" s="9" t="s">
        <v>10</v>
      </c>
    </row>
    <row r="73" spans="1:15" ht="37.5">
      <c r="A73" s="3" t="s">
        <v>91</v>
      </c>
      <c r="B73" s="8"/>
      <c r="C73" s="8" t="s">
        <v>92</v>
      </c>
      <c r="D73" s="8" t="s">
        <v>93</v>
      </c>
      <c r="E73" s="8" t="s">
        <v>12</v>
      </c>
      <c r="F73" s="8" t="s">
        <v>10</v>
      </c>
    </row>
    <row r="74" spans="1:15" ht="18.75">
      <c r="A74" s="4" t="s">
        <v>94</v>
      </c>
      <c r="B74" s="9">
        <f>+Requisitos!C38</f>
        <v>37</v>
      </c>
      <c r="C74" s="9" t="s">
        <v>8</v>
      </c>
      <c r="D74" s="9" t="s">
        <v>16</v>
      </c>
      <c r="E74" s="9" t="s">
        <v>19</v>
      </c>
      <c r="F74" s="9" t="s">
        <v>10</v>
      </c>
      <c r="O74" s="39"/>
    </row>
    <row r="75" spans="1:15" ht="18.75">
      <c r="A75" s="3" t="s">
        <v>95</v>
      </c>
      <c r="B75" s="8">
        <f>+Requisitos!C38</f>
        <v>37</v>
      </c>
      <c r="C75" s="8">
        <v>1</v>
      </c>
      <c r="D75" s="8">
        <v>3</v>
      </c>
      <c r="E75" s="8" t="s">
        <v>19</v>
      </c>
      <c r="F75" s="8" t="s">
        <v>10</v>
      </c>
    </row>
    <row r="76" spans="1:15" ht="37.5">
      <c r="A76" s="4" t="s">
        <v>96</v>
      </c>
      <c r="B76" s="9">
        <f>+Requisitos!C38</f>
        <v>37</v>
      </c>
      <c r="C76" s="9" t="s">
        <v>7</v>
      </c>
      <c r="D76" s="9" t="s">
        <v>8</v>
      </c>
      <c r="E76" s="9" t="s">
        <v>19</v>
      </c>
      <c r="F76" s="9" t="s">
        <v>10</v>
      </c>
      <c r="M76" s="38"/>
    </row>
    <row r="77" spans="1:15" ht="37.5">
      <c r="A77" s="3" t="s">
        <v>97</v>
      </c>
      <c r="B77" s="8">
        <f>+Requisitos!C38</f>
        <v>37</v>
      </c>
      <c r="C77" s="8" t="s">
        <v>7</v>
      </c>
      <c r="D77" s="8" t="s">
        <v>8</v>
      </c>
      <c r="E77" s="8" t="s">
        <v>19</v>
      </c>
      <c r="F77" s="8" t="s">
        <v>10</v>
      </c>
    </row>
    <row r="78" spans="1:15" ht="57">
      <c r="A78" s="4" t="s">
        <v>98</v>
      </c>
      <c r="B78" s="9">
        <f>+Requisitos!C45</f>
        <v>43</v>
      </c>
      <c r="C78" s="9">
        <v>2</v>
      </c>
      <c r="D78" s="9" t="s">
        <v>51</v>
      </c>
      <c r="E78" s="9" t="s">
        <v>9</v>
      </c>
      <c r="F78" s="9" t="s">
        <v>10</v>
      </c>
    </row>
    <row r="79" spans="1:15" ht="57">
      <c r="A79" s="3" t="s">
        <v>99</v>
      </c>
      <c r="B79" s="8"/>
      <c r="C79" s="8" t="s">
        <v>7</v>
      </c>
      <c r="D79" s="8" t="s">
        <v>51</v>
      </c>
      <c r="E79" s="8" t="s">
        <v>9</v>
      </c>
      <c r="F79" s="8" t="s">
        <v>10</v>
      </c>
    </row>
    <row r="80" spans="1:15" ht="37.5">
      <c r="A80" s="4" t="s">
        <v>100</v>
      </c>
      <c r="B80" s="9">
        <f>+Requisitos!C45</f>
        <v>43</v>
      </c>
      <c r="C80" s="9" t="s">
        <v>7</v>
      </c>
      <c r="D80" s="9" t="s">
        <v>31</v>
      </c>
      <c r="E80" s="9" t="s">
        <v>9</v>
      </c>
      <c r="F80" s="9" t="s">
        <v>10</v>
      </c>
    </row>
    <row r="81" spans="1:6" ht="18.75">
      <c r="A81" s="3" t="s">
        <v>39</v>
      </c>
      <c r="B81" s="8">
        <f>+Requisitos!C45</f>
        <v>43</v>
      </c>
      <c r="C81" s="8" t="s">
        <v>7</v>
      </c>
      <c r="D81" s="8" t="s">
        <v>8</v>
      </c>
      <c r="E81" s="8" t="s">
        <v>9</v>
      </c>
      <c r="F81" s="8" t="s">
        <v>10</v>
      </c>
    </row>
    <row r="82" spans="1:6" ht="37.5">
      <c r="A82" s="4" t="s">
        <v>101</v>
      </c>
      <c r="B82" s="9">
        <f>+Requisitos!C43</f>
        <v>41</v>
      </c>
      <c r="C82" s="9">
        <v>1</v>
      </c>
      <c r="D82" s="9">
        <v>3</v>
      </c>
      <c r="E82" s="9" t="s">
        <v>13</v>
      </c>
      <c r="F82" s="9" t="s">
        <v>10</v>
      </c>
    </row>
    <row r="83" spans="1:6" ht="57">
      <c r="A83" s="3" t="s">
        <v>102</v>
      </c>
      <c r="B83" s="8"/>
      <c r="C83" s="8" t="s">
        <v>37</v>
      </c>
      <c r="D83" s="8" t="s">
        <v>35</v>
      </c>
      <c r="E83" s="8" t="s">
        <v>20</v>
      </c>
      <c r="F83" s="8" t="s">
        <v>10</v>
      </c>
    </row>
    <row r="84" spans="1:6" ht="57">
      <c r="A84" s="4" t="s">
        <v>103</v>
      </c>
      <c r="B84" s="9"/>
      <c r="C84" s="9">
        <v>2</v>
      </c>
      <c r="D84" s="9" t="s">
        <v>7</v>
      </c>
      <c r="E84" s="9" t="s">
        <v>12</v>
      </c>
      <c r="F84" s="9" t="s">
        <v>10</v>
      </c>
    </row>
    <row r="85" spans="1:6" ht="37.5">
      <c r="A85" s="3" t="s">
        <v>104</v>
      </c>
      <c r="B85" s="8"/>
      <c r="C85" s="8" t="s">
        <v>89</v>
      </c>
      <c r="D85" s="8">
        <v>1</v>
      </c>
      <c r="E85" s="8" t="s">
        <v>12</v>
      </c>
      <c r="F85" s="8" t="s">
        <v>10</v>
      </c>
    </row>
    <row r="86" spans="1:6" ht="18.75">
      <c r="A86" s="4" t="s">
        <v>105</v>
      </c>
      <c r="B86" s="9"/>
      <c r="C86" s="9">
        <v>1</v>
      </c>
      <c r="D86" s="9" t="s">
        <v>8</v>
      </c>
      <c r="E86" s="9" t="s">
        <v>19</v>
      </c>
      <c r="F86" s="9" t="s">
        <v>10</v>
      </c>
    </row>
    <row r="87" spans="1:6" ht="18.75">
      <c r="A87" s="3" t="s">
        <v>106</v>
      </c>
      <c r="B87" s="8"/>
      <c r="C87" s="8">
        <v>1</v>
      </c>
      <c r="D87" s="8" t="s">
        <v>7</v>
      </c>
      <c r="E87" s="8" t="s">
        <v>13</v>
      </c>
      <c r="F87" s="8" t="s">
        <v>10</v>
      </c>
    </row>
    <row r="88" spans="1:6" ht="18.75">
      <c r="A88" s="4" t="s">
        <v>107</v>
      </c>
      <c r="B88" s="9"/>
      <c r="C88" s="9"/>
      <c r="D88" s="9"/>
      <c r="E88" s="9"/>
      <c r="F88" s="9" t="s">
        <v>10</v>
      </c>
    </row>
    <row r="89" spans="1:6" ht="37.5">
      <c r="A89" s="3" t="s">
        <v>108</v>
      </c>
      <c r="B89" s="8"/>
      <c r="C89" s="8" t="s">
        <v>31</v>
      </c>
      <c r="D89" s="8" t="s">
        <v>16</v>
      </c>
      <c r="E89" s="8" t="s">
        <v>13</v>
      </c>
      <c r="F89" s="8" t="s">
        <v>10</v>
      </c>
    </row>
    <row r="90" spans="1:6" ht="37.5">
      <c r="A90" s="4" t="s">
        <v>109</v>
      </c>
      <c r="B90" s="9"/>
      <c r="C90" s="9" t="s">
        <v>16</v>
      </c>
      <c r="D90" s="9" t="s">
        <v>8</v>
      </c>
      <c r="E90" s="9" t="s">
        <v>13</v>
      </c>
      <c r="F90" s="9" t="s">
        <v>10</v>
      </c>
    </row>
    <row r="91" spans="1:6" ht="37.5">
      <c r="A91" s="3" t="s">
        <v>110</v>
      </c>
      <c r="B91" s="8"/>
      <c r="C91" s="8">
        <v>1</v>
      </c>
      <c r="D91" s="8" t="s">
        <v>35</v>
      </c>
      <c r="E91" s="8" t="s">
        <v>19</v>
      </c>
      <c r="F91" s="8" t="s">
        <v>10</v>
      </c>
    </row>
    <row r="92" spans="1:6" ht="57">
      <c r="A92" s="4" t="s">
        <v>111</v>
      </c>
      <c r="B92" s="9"/>
      <c r="C92" s="9" t="s">
        <v>8</v>
      </c>
      <c r="D92" s="9" t="s">
        <v>31</v>
      </c>
      <c r="E92" s="9" t="s">
        <v>13</v>
      </c>
      <c r="F92" s="9" t="s">
        <v>10</v>
      </c>
    </row>
    <row r="93" spans="1:6" ht="18.75">
      <c r="A93" s="3" t="s">
        <v>112</v>
      </c>
      <c r="B93" s="8"/>
      <c r="C93" s="8"/>
      <c r="D93" s="8"/>
      <c r="E93" s="8" t="s">
        <v>9</v>
      </c>
      <c r="F93" s="8" t="s">
        <v>113</v>
      </c>
    </row>
    <row r="94" spans="1:6" ht="18.75">
      <c r="A94" s="4" t="s">
        <v>114</v>
      </c>
      <c r="D94" s="32"/>
    </row>
    <row r="95" spans="1:6" ht="18.75">
      <c r="A95" s="3" t="s">
        <v>115</v>
      </c>
      <c r="B95" s="8"/>
      <c r="C95" s="8">
        <v>1</v>
      </c>
      <c r="D95" s="8" t="s">
        <v>7</v>
      </c>
      <c r="E95" s="8" t="s">
        <v>9</v>
      </c>
      <c r="F95" s="8" t="s">
        <v>10</v>
      </c>
    </row>
    <row r="96" spans="1:6" ht="57">
      <c r="A96" s="1" t="s">
        <v>116</v>
      </c>
      <c r="B96" s="9"/>
      <c r="C96" s="9" t="s">
        <v>117</v>
      </c>
      <c r="D96" s="9" t="s">
        <v>117</v>
      </c>
      <c r="E96" s="9" t="s">
        <v>9</v>
      </c>
      <c r="F96" s="9" t="s">
        <v>10</v>
      </c>
    </row>
    <row r="97" spans="1:6" s="35" customFormat="1" ht="56.1" customHeight="1">
      <c r="A97" s="3" t="s">
        <v>118</v>
      </c>
      <c r="B97" s="8">
        <f>+Requisitos!C52</f>
        <v>48</v>
      </c>
      <c r="C97" s="8" t="s">
        <v>15</v>
      </c>
      <c r="D97" s="8" t="s">
        <v>119</v>
      </c>
      <c r="E97" s="8" t="s">
        <v>19</v>
      </c>
      <c r="F97" s="8" t="s">
        <v>10</v>
      </c>
    </row>
    <row r="98" spans="1:6" s="35" customFormat="1" ht="75.75">
      <c r="A98" s="4" t="s">
        <v>120</v>
      </c>
      <c r="B98" s="9">
        <f>+Requisitos!C57</f>
        <v>55</v>
      </c>
      <c r="C98" s="36">
        <v>1</v>
      </c>
      <c r="D98" s="36" t="s">
        <v>35</v>
      </c>
      <c r="E98" s="34" t="s">
        <v>19</v>
      </c>
      <c r="F98" s="34" t="s">
        <v>10</v>
      </c>
    </row>
    <row r="99" spans="1:6" s="35" customFormat="1" ht="37.5">
      <c r="A99" s="3" t="s">
        <v>121</v>
      </c>
      <c r="B99" s="8">
        <f>+Requisitos!C57</f>
        <v>55</v>
      </c>
      <c r="C99" s="8" t="s">
        <v>7</v>
      </c>
      <c r="D99" s="8" t="s">
        <v>37</v>
      </c>
      <c r="E99" s="8" t="s">
        <v>19</v>
      </c>
      <c r="F99" s="8" t="s">
        <v>10</v>
      </c>
    </row>
    <row r="100" spans="1:6" s="35" customFormat="1" ht="57">
      <c r="A100" s="1" t="s">
        <v>122</v>
      </c>
      <c r="B100" s="9">
        <f>+Requisitos!C57</f>
        <v>55</v>
      </c>
      <c r="C100" s="9" t="s">
        <v>7</v>
      </c>
      <c r="D100" s="9" t="s">
        <v>35</v>
      </c>
      <c r="E100" s="9" t="s">
        <v>19</v>
      </c>
      <c r="F100" s="9" t="s">
        <v>10</v>
      </c>
    </row>
    <row r="101" spans="1:6" s="35" customFormat="1" ht="37.35" customHeight="1">
      <c r="A101" s="3" t="s">
        <v>123</v>
      </c>
      <c r="B101" s="8">
        <f>+Requisitos!C57</f>
        <v>55</v>
      </c>
      <c r="C101" s="8">
        <v>1</v>
      </c>
      <c r="D101" s="8" t="s">
        <v>124</v>
      </c>
      <c r="E101" s="8" t="s">
        <v>19</v>
      </c>
      <c r="F101" s="8" t="s">
        <v>10</v>
      </c>
    </row>
    <row r="102" spans="1:6" s="35" customFormat="1" ht="37.5">
      <c r="A102" s="4" t="s">
        <v>125</v>
      </c>
      <c r="B102" s="36">
        <f>+Requisitos!C60</f>
        <v>58</v>
      </c>
      <c r="C102" s="36">
        <v>1</v>
      </c>
      <c r="D102" s="36" t="s">
        <v>7</v>
      </c>
      <c r="E102" s="34" t="s">
        <v>19</v>
      </c>
      <c r="F102" s="34" t="s">
        <v>10</v>
      </c>
    </row>
    <row r="103" spans="1:6" s="35" customFormat="1" ht="78.599999999999994" customHeight="1">
      <c r="A103" s="3" t="s">
        <v>126</v>
      </c>
      <c r="B103" s="8">
        <f>+Requisitos!C60</f>
        <v>58</v>
      </c>
      <c r="C103" s="8">
        <v>2</v>
      </c>
      <c r="D103" s="8" t="s">
        <v>127</v>
      </c>
      <c r="E103" s="8" t="s">
        <v>19</v>
      </c>
      <c r="F103" s="8" t="s">
        <v>10</v>
      </c>
    </row>
    <row r="104" spans="1:6" s="35" customFormat="1" ht="37.5">
      <c r="A104" s="4" t="s">
        <v>128</v>
      </c>
      <c r="B104" s="36">
        <f>+Requisitos!C60</f>
        <v>58</v>
      </c>
      <c r="C104" s="36" t="s">
        <v>7</v>
      </c>
      <c r="D104" s="36" t="s">
        <v>8</v>
      </c>
      <c r="E104" s="36" t="s">
        <v>19</v>
      </c>
      <c r="F104" s="36" t="s">
        <v>10</v>
      </c>
    </row>
    <row r="105" spans="1:6" s="35" customFormat="1" ht="37.5">
      <c r="A105" s="3" t="s">
        <v>129</v>
      </c>
      <c r="B105" s="8"/>
      <c r="C105" s="8" t="s">
        <v>8</v>
      </c>
      <c r="D105" s="8" t="s">
        <v>7</v>
      </c>
      <c r="E105" s="8" t="s">
        <v>19</v>
      </c>
      <c r="F105" s="8" t="s">
        <v>10</v>
      </c>
    </row>
    <row r="106" spans="1:6" s="35" customFormat="1" ht="75.75">
      <c r="A106" s="4" t="s">
        <v>130</v>
      </c>
      <c r="B106" s="9"/>
      <c r="C106" s="9"/>
      <c r="D106" s="9"/>
      <c r="E106" s="9"/>
      <c r="F106" s="9"/>
    </row>
    <row r="107" spans="1:6" s="35" customFormat="1" ht="37.5">
      <c r="A107" s="3" t="s">
        <v>131</v>
      </c>
      <c r="B107" s="8">
        <f>+Requisitos!C59</f>
        <v>57</v>
      </c>
      <c r="C107" s="8" t="s">
        <v>7</v>
      </c>
      <c r="D107" s="8" t="s">
        <v>127</v>
      </c>
      <c r="E107" s="8" t="s">
        <v>13</v>
      </c>
      <c r="F107" s="8" t="s">
        <v>10</v>
      </c>
    </row>
    <row r="108" spans="1:6" s="35" customFormat="1" ht="18.75">
      <c r="A108" s="4"/>
      <c r="B108" s="36">
        <f>+Requisitos!C59</f>
        <v>57</v>
      </c>
      <c r="C108" s="36">
        <v>1</v>
      </c>
      <c r="D108" s="36" t="s">
        <v>7</v>
      </c>
      <c r="E108" s="34" t="s">
        <v>13</v>
      </c>
      <c r="F108" s="8" t="s">
        <v>10</v>
      </c>
    </row>
    <row r="109" spans="1:6" s="35" customFormat="1" ht="37.5">
      <c r="A109" s="3" t="s">
        <v>132</v>
      </c>
      <c r="B109" s="8">
        <f>+Requisitos!C59</f>
        <v>57</v>
      </c>
      <c r="C109" s="8" t="s">
        <v>8</v>
      </c>
      <c r="D109" s="8" t="s">
        <v>8</v>
      </c>
      <c r="E109" s="8" t="s">
        <v>13</v>
      </c>
      <c r="F109" s="8" t="s">
        <v>10</v>
      </c>
    </row>
    <row r="110" spans="1:6" s="35" customFormat="1" ht="37.5">
      <c r="A110" s="37" t="s">
        <v>133</v>
      </c>
      <c r="B110" s="36">
        <f>+Requisitos!C59</f>
        <v>57</v>
      </c>
      <c r="C110" s="36" t="s">
        <v>7</v>
      </c>
      <c r="D110" s="36" t="s">
        <v>8</v>
      </c>
      <c r="E110" s="34" t="s">
        <v>19</v>
      </c>
      <c r="F110" s="8" t="s">
        <v>10</v>
      </c>
    </row>
    <row r="111" spans="1:6" s="35" customFormat="1" ht="18.75">
      <c r="A111" s="3" t="s">
        <v>134</v>
      </c>
      <c r="B111" s="8"/>
      <c r="C111" s="8"/>
      <c r="D111" s="8"/>
      <c r="E111" s="8"/>
      <c r="F111" s="8"/>
    </row>
    <row r="112" spans="1:6" s="35" customFormat="1" ht="37.5">
      <c r="A112" s="37" t="s">
        <v>135</v>
      </c>
      <c r="B112" s="9"/>
      <c r="C112" s="9"/>
      <c r="D112" s="9"/>
      <c r="E112" s="9"/>
      <c r="F112" s="9"/>
    </row>
    <row r="113" spans="1:6" s="35" customFormat="1" ht="18.75">
      <c r="A113" s="3"/>
      <c r="B113" s="8"/>
      <c r="C113" s="8"/>
      <c r="D113" s="8"/>
      <c r="E113" s="8"/>
      <c r="F113" s="8"/>
    </row>
    <row r="114" spans="1:6" s="35" customFormat="1" ht="37.5">
      <c r="A114" s="4" t="s">
        <v>136</v>
      </c>
      <c r="B114" s="34"/>
      <c r="C114" s="34"/>
      <c r="D114" s="34"/>
      <c r="E114" s="34"/>
      <c r="F114" s="34"/>
    </row>
    <row r="115" spans="1:6" ht="18.75">
      <c r="A115" s="3" t="s">
        <v>137</v>
      </c>
      <c r="B115" s="34"/>
      <c r="C115" s="34"/>
      <c r="D115" s="34"/>
      <c r="E115" s="34"/>
      <c r="F115" s="34"/>
    </row>
    <row r="116" spans="1:6" ht="18.75">
      <c r="A116" s="35" t="s">
        <v>138</v>
      </c>
      <c r="B116" s="10" t="s">
        <v>9</v>
      </c>
      <c r="E116" s="10" t="s">
        <v>9</v>
      </c>
    </row>
    <row r="117" spans="1:6" ht="18.75">
      <c r="A117" s="35">
        <v>64.650000000000006</v>
      </c>
      <c r="B117" s="10" t="s">
        <v>139</v>
      </c>
    </row>
    <row r="118" spans="1:6">
      <c r="A118">
        <v>66.709999999999994</v>
      </c>
      <c r="B118" s="10" t="s">
        <v>20</v>
      </c>
    </row>
    <row r="119" spans="1:6">
      <c r="A119" t="s">
        <v>140</v>
      </c>
      <c r="B119" s="10" t="s">
        <v>18</v>
      </c>
    </row>
  </sheetData>
  <autoFilter ref="A1:F32" xr:uid="{74E8B59A-7A92-E349-A281-22786FC7C0A0}"/>
  <conditionalFormatting sqref="B46:B47 B87 C88:D88 C89:C93 C2:C86">
    <cfRule type="containsText" dxfId="60" priority="25" operator="containsText" text="Bajo"/>
    <cfRule type="containsText" dxfId="59" priority="26" operator="containsText" text="Medio"/>
    <cfRule type="containsText" dxfId="58" priority="27" operator="containsText" text="Alto"/>
  </conditionalFormatting>
  <conditionalFormatting sqref="B107">
    <cfRule type="containsText" dxfId="57" priority="1" operator="containsText" text="Bajo"/>
    <cfRule type="containsText" dxfId="56" priority="2" operator="containsText" text="Medio"/>
    <cfRule type="containsText" dxfId="55" priority="3" operator="containsText" text="Alto"/>
  </conditionalFormatting>
  <conditionalFormatting sqref="B109:C109">
    <cfRule type="containsText" dxfId="54" priority="7" operator="containsText" text="Bajo"/>
    <cfRule type="containsText" dxfId="53" priority="8" operator="containsText" text="Medio"/>
    <cfRule type="containsText" dxfId="52" priority="9" operator="containsText" text="Alto"/>
  </conditionalFormatting>
  <conditionalFormatting sqref="C95:C97">
    <cfRule type="containsText" dxfId="51" priority="22" operator="containsText" text="Bajo"/>
    <cfRule type="containsText" dxfId="50" priority="23" operator="containsText" text="Medio"/>
    <cfRule type="containsText" dxfId="49" priority="24" operator="containsText" text="Alto"/>
  </conditionalFormatting>
  <conditionalFormatting sqref="C99:C101">
    <cfRule type="containsText" dxfId="48" priority="19" operator="containsText" text="Bajo"/>
    <cfRule type="containsText" dxfId="47" priority="20" operator="containsText" text="Medio"/>
    <cfRule type="containsText" dxfId="46" priority="21" operator="containsText" text="Alto"/>
  </conditionalFormatting>
  <conditionalFormatting sqref="C103">
    <cfRule type="containsText" dxfId="45" priority="13" operator="containsText" text="Bajo"/>
    <cfRule type="containsText" dxfId="44" priority="14" operator="containsText" text="Medio"/>
    <cfRule type="containsText" dxfId="43" priority="15" operator="containsText" text="Alto"/>
  </conditionalFormatting>
  <conditionalFormatting sqref="C105:C107">
    <cfRule type="containsText" dxfId="42" priority="10" operator="containsText" text="Bajo"/>
    <cfRule type="containsText" dxfId="41" priority="11" operator="containsText" text="Medio"/>
    <cfRule type="containsText" dxfId="40" priority="12" operator="containsText" text="Alto"/>
  </conditionalFormatting>
  <conditionalFormatting sqref="C111:C113">
    <cfRule type="containsText" dxfId="39" priority="4" operator="containsText" text="Bajo"/>
    <cfRule type="containsText" dxfId="38" priority="5" operator="containsText" text="Medio"/>
    <cfRule type="containsText" dxfId="37" priority="6" operator="containsText" text="Alto"/>
  </conditionalFormatting>
  <conditionalFormatting sqref="F1:F1048576">
    <cfRule type="cellIs" dxfId="36" priority="31" operator="equal">
      <formula>"Pendiente"</formula>
    </cfRule>
    <cfRule type="cellIs" dxfId="35" priority="32" operator="equal">
      <formula>"En progreso"</formula>
    </cfRule>
    <cfRule type="cellIs" dxfId="34" priority="33" operator="equal">
      <formula>"Completado"</formula>
    </cfRule>
  </conditionalFormatting>
  <dataValidations count="2">
    <dataValidation type="list" allowBlank="1" showInputMessage="1" showErrorMessage="1" sqref="F99:F101 F95:F97 F105:F113 F103 F1:F93" xr:uid="{156CFE29-88C3-4748-8BCA-1F075E0CA6A6}">
      <formula1>"Pendiente,En progreso,Completado,"</formula1>
    </dataValidation>
    <dataValidation type="list" allowBlank="1" showInputMessage="1" showErrorMessage="1" sqref="E1:E1048576" xr:uid="{D5B2A39D-C1AC-2F40-8731-2FEA04265404}">
      <formula1>"Victor,Alfredo,Juan,Pedro,Pablo,Javier"</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77"/>
  <sheetViews>
    <sheetView tabSelected="1" zoomScale="70" zoomScaleNormal="70" workbookViewId="0">
      <pane ySplit="1" topLeftCell="A76" activePane="bottomLeft" state="frozen"/>
      <selection pane="bottomLeft" activeCell="H77" sqref="H77"/>
    </sheetView>
  </sheetViews>
  <sheetFormatPr defaultColWidth="8.7109375" defaultRowHeight="18.95"/>
  <cols>
    <col min="1" max="1" width="58" style="1" customWidth="1"/>
    <col min="2" max="2" width="87.7109375" style="5" customWidth="1"/>
    <col min="3" max="3" width="6.42578125" style="1" customWidth="1"/>
    <col min="4" max="4" width="8.140625" style="5" customWidth="1"/>
    <col min="5" max="5" width="8.42578125" style="5" customWidth="1"/>
    <col min="6" max="6" width="10.28515625" style="5" customWidth="1"/>
    <col min="7" max="7" width="16.28515625" style="5" bestFit="1" customWidth="1"/>
    <col min="8" max="8" width="14.42578125" customWidth="1"/>
    <col min="10" max="10" width="8.42578125" customWidth="1"/>
  </cols>
  <sheetData>
    <row r="1" spans="1:8" ht="71.099999999999994" customHeight="1">
      <c r="A1" s="1" t="s">
        <v>141</v>
      </c>
      <c r="B1" s="5" t="s">
        <v>142</v>
      </c>
      <c r="C1" s="5" t="s">
        <v>143</v>
      </c>
      <c r="D1" s="5" t="s">
        <v>144</v>
      </c>
      <c r="E1" s="5" t="s">
        <v>145</v>
      </c>
      <c r="F1" s="5" t="s">
        <v>146</v>
      </c>
      <c r="G1" s="5" t="s">
        <v>147</v>
      </c>
      <c r="H1" s="5" t="s">
        <v>5</v>
      </c>
    </row>
    <row r="2" spans="1:8" ht="279.95" hidden="1">
      <c r="A2" s="1" t="s">
        <v>148</v>
      </c>
      <c r="B2" s="1" t="s">
        <v>149</v>
      </c>
      <c r="C2" s="5">
        <v>1</v>
      </c>
      <c r="D2" s="5" t="s">
        <v>150</v>
      </c>
      <c r="E2" s="5">
        <v>5</v>
      </c>
      <c r="F2" s="5" t="s">
        <v>151</v>
      </c>
      <c r="G2" s="6">
        <v>45929</v>
      </c>
      <c r="H2" s="5" t="s">
        <v>10</v>
      </c>
    </row>
    <row r="3" spans="1:8" ht="120" hidden="1">
      <c r="A3" s="1" t="s">
        <v>152</v>
      </c>
      <c r="B3" s="1" t="s">
        <v>153</v>
      </c>
      <c r="C3" s="5">
        <v>2</v>
      </c>
      <c r="D3" s="5" t="s">
        <v>154</v>
      </c>
      <c r="E3" s="5">
        <v>13</v>
      </c>
      <c r="F3" s="5" t="s">
        <v>155</v>
      </c>
      <c r="H3" s="5" t="s">
        <v>113</v>
      </c>
    </row>
    <row r="4" spans="1:8" ht="120" hidden="1">
      <c r="A4" s="1" t="s">
        <v>156</v>
      </c>
      <c r="B4" s="1" t="s">
        <v>157</v>
      </c>
      <c r="C4" s="5">
        <v>3</v>
      </c>
      <c r="D4" s="5" t="s">
        <v>150</v>
      </c>
      <c r="E4" s="5">
        <v>3</v>
      </c>
      <c r="F4" s="5" t="s">
        <v>158</v>
      </c>
      <c r="G4" s="6">
        <v>45929</v>
      </c>
      <c r="H4" s="5" t="s">
        <v>10</v>
      </c>
    </row>
    <row r="5" spans="1:8" ht="140.1" hidden="1">
      <c r="A5" s="1" t="s">
        <v>159</v>
      </c>
      <c r="B5" s="19" t="s">
        <v>160</v>
      </c>
      <c r="C5" s="5">
        <v>4</v>
      </c>
      <c r="D5" s="5" t="s">
        <v>161</v>
      </c>
      <c r="E5" s="5">
        <v>3</v>
      </c>
      <c r="F5" s="5" t="s">
        <v>158</v>
      </c>
      <c r="G5" s="6">
        <v>45929</v>
      </c>
      <c r="H5" s="5" t="s">
        <v>10</v>
      </c>
    </row>
    <row r="6" spans="1:8" ht="159.94999999999999" hidden="1">
      <c r="A6" s="1" t="s">
        <v>162</v>
      </c>
      <c r="B6" s="24" t="s">
        <v>163</v>
      </c>
      <c r="C6" s="5">
        <v>5</v>
      </c>
      <c r="D6" s="5" t="s">
        <v>161</v>
      </c>
      <c r="E6" s="5">
        <v>10</v>
      </c>
      <c r="F6" s="5" t="s">
        <v>151</v>
      </c>
      <c r="H6" s="5" t="s">
        <v>113</v>
      </c>
    </row>
    <row r="7" spans="1:8" ht="219.95" hidden="1">
      <c r="A7" s="1" t="s">
        <v>164</v>
      </c>
      <c r="B7" s="1" t="s">
        <v>165</v>
      </c>
      <c r="C7" s="5">
        <v>6</v>
      </c>
      <c r="D7" s="5" t="s">
        <v>150</v>
      </c>
      <c r="E7" s="5">
        <v>8</v>
      </c>
      <c r="F7" s="5" t="s">
        <v>151</v>
      </c>
      <c r="G7" s="6">
        <v>45929</v>
      </c>
      <c r="H7" s="5" t="s">
        <v>10</v>
      </c>
    </row>
    <row r="8" spans="1:8" ht="159.94999999999999" hidden="1">
      <c r="A8" s="1" t="s">
        <v>166</v>
      </c>
      <c r="B8" s="14" t="s">
        <v>167</v>
      </c>
      <c r="C8" s="5">
        <v>7</v>
      </c>
      <c r="D8" s="5" t="s">
        <v>161</v>
      </c>
      <c r="E8" s="5">
        <v>6</v>
      </c>
      <c r="F8" s="5" t="s">
        <v>158</v>
      </c>
      <c r="H8" s="5" t="s">
        <v>113</v>
      </c>
    </row>
    <row r="9" spans="1:8" ht="120" hidden="1">
      <c r="A9" s="1" t="s">
        <v>168</v>
      </c>
      <c r="B9" s="19" t="s">
        <v>169</v>
      </c>
      <c r="C9" s="5">
        <v>8</v>
      </c>
      <c r="D9" s="5" t="s">
        <v>161</v>
      </c>
      <c r="E9" s="5">
        <v>5</v>
      </c>
      <c r="F9" s="5" t="s">
        <v>151</v>
      </c>
      <c r="H9" s="5" t="s">
        <v>113</v>
      </c>
    </row>
    <row r="10" spans="1:8" ht="159.94999999999999" hidden="1">
      <c r="A10" s="1" t="s">
        <v>170</v>
      </c>
      <c r="B10" s="24" t="s">
        <v>171</v>
      </c>
      <c r="C10" s="5">
        <v>9</v>
      </c>
      <c r="D10" s="5" t="s">
        <v>150</v>
      </c>
      <c r="E10" s="5">
        <v>10</v>
      </c>
      <c r="F10" s="5" t="s">
        <v>155</v>
      </c>
      <c r="G10" s="6">
        <v>45929</v>
      </c>
      <c r="H10" s="5" t="s">
        <v>10</v>
      </c>
    </row>
    <row r="11" spans="1:8" ht="103.35" hidden="1" customHeight="1">
      <c r="A11" s="1" t="s">
        <v>172</v>
      </c>
      <c r="B11" s="19" t="s">
        <v>173</v>
      </c>
      <c r="C11" s="5">
        <v>10</v>
      </c>
      <c r="D11" s="5" t="s">
        <v>150</v>
      </c>
      <c r="E11" s="5">
        <v>13</v>
      </c>
      <c r="F11" s="5" t="s">
        <v>155</v>
      </c>
      <c r="G11" s="6">
        <v>45936</v>
      </c>
      <c r="H11" s="5" t="s">
        <v>10</v>
      </c>
    </row>
    <row r="12" spans="1:8" ht="100.35" hidden="1" customHeight="1">
      <c r="A12" s="1" t="s">
        <v>174</v>
      </c>
      <c r="B12" s="1"/>
      <c r="C12" s="5">
        <v>11</v>
      </c>
      <c r="D12" s="5" t="s">
        <v>161</v>
      </c>
      <c r="E12" s="5">
        <v>4</v>
      </c>
      <c r="F12" s="5" t="s">
        <v>151</v>
      </c>
      <c r="G12" s="6">
        <v>45936</v>
      </c>
      <c r="H12" s="5" t="s">
        <v>10</v>
      </c>
    </row>
    <row r="13" spans="1:8" ht="39.950000000000003" hidden="1">
      <c r="A13" s="1" t="s">
        <v>175</v>
      </c>
      <c r="B13" s="1"/>
      <c r="C13" s="5">
        <v>12</v>
      </c>
      <c r="D13" s="5" t="s">
        <v>154</v>
      </c>
      <c r="E13" s="5">
        <v>6</v>
      </c>
      <c r="F13" s="5" t="s">
        <v>151</v>
      </c>
      <c r="H13" s="5" t="s">
        <v>113</v>
      </c>
    </row>
    <row r="14" spans="1:8" ht="80.099999999999994" hidden="1">
      <c r="A14" s="1" t="s">
        <v>176</v>
      </c>
      <c r="B14" s="1"/>
      <c r="C14" s="5">
        <v>13</v>
      </c>
      <c r="D14" s="5" t="s">
        <v>161</v>
      </c>
      <c r="E14" s="5">
        <v>13</v>
      </c>
      <c r="F14" s="5" t="s">
        <v>155</v>
      </c>
      <c r="H14" s="5" t="s">
        <v>113</v>
      </c>
    </row>
    <row r="15" spans="1:8" ht="80.099999999999994" hidden="1">
      <c r="A15" s="1" t="s">
        <v>177</v>
      </c>
      <c r="B15" s="1"/>
      <c r="C15" s="5">
        <v>14</v>
      </c>
      <c r="D15" s="5" t="s">
        <v>154</v>
      </c>
      <c r="E15" s="5">
        <v>5</v>
      </c>
      <c r="F15" s="5" t="s">
        <v>151</v>
      </c>
      <c r="H15" s="9"/>
    </row>
    <row r="16" spans="1:8" ht="20.100000000000001" hidden="1">
      <c r="A16" s="1" t="s">
        <v>178</v>
      </c>
      <c r="B16" s="1"/>
      <c r="C16" s="5">
        <v>15</v>
      </c>
      <c r="D16" s="5" t="s">
        <v>154</v>
      </c>
      <c r="E16" s="5">
        <v>2</v>
      </c>
      <c r="F16" s="5" t="s">
        <v>158</v>
      </c>
      <c r="H16" s="5" t="s">
        <v>113</v>
      </c>
    </row>
    <row r="17" spans="1:8" ht="39.950000000000003" hidden="1">
      <c r="A17" s="1" t="s">
        <v>179</v>
      </c>
      <c r="B17" s="1"/>
      <c r="C17" s="5">
        <v>16</v>
      </c>
      <c r="D17" s="5" t="s">
        <v>161</v>
      </c>
      <c r="E17" s="5">
        <v>10</v>
      </c>
      <c r="F17" s="5" t="s">
        <v>155</v>
      </c>
      <c r="H17" s="5" t="s">
        <v>113</v>
      </c>
    </row>
    <row r="18" spans="1:8" ht="20.100000000000001" hidden="1">
      <c r="A18" s="1" t="s">
        <v>180</v>
      </c>
      <c r="B18" s="1"/>
      <c r="C18" s="5">
        <v>17</v>
      </c>
      <c r="D18" s="5" t="s">
        <v>154</v>
      </c>
      <c r="E18" s="5">
        <v>15</v>
      </c>
      <c r="F18" s="5" t="s">
        <v>155</v>
      </c>
      <c r="H18" s="5" t="s">
        <v>113</v>
      </c>
    </row>
    <row r="19" spans="1:8" ht="39.950000000000003" hidden="1">
      <c r="A19" s="1" t="s">
        <v>181</v>
      </c>
      <c r="B19" s="1"/>
      <c r="C19" s="5">
        <v>18</v>
      </c>
      <c r="D19" s="5" t="s">
        <v>161</v>
      </c>
      <c r="E19" s="6" t="s">
        <v>7</v>
      </c>
      <c r="F19" s="5" t="s">
        <v>158</v>
      </c>
      <c r="H19" s="5" t="s">
        <v>113</v>
      </c>
    </row>
    <row r="20" spans="1:8" ht="76.349999999999994" hidden="1" customHeight="1">
      <c r="A20" s="1" t="s">
        <v>182</v>
      </c>
      <c r="B20" s="1"/>
      <c r="C20" s="5">
        <v>19</v>
      </c>
      <c r="D20" s="5" t="s">
        <v>150</v>
      </c>
      <c r="E20" s="5">
        <v>13</v>
      </c>
      <c r="F20" s="5" t="s">
        <v>151</v>
      </c>
      <c r="G20" s="6">
        <v>45929</v>
      </c>
      <c r="H20" s="5" t="s">
        <v>10</v>
      </c>
    </row>
    <row r="21" spans="1:8" ht="76.349999999999994" hidden="1" customHeight="1">
      <c r="A21" s="1" t="s">
        <v>183</v>
      </c>
      <c r="B21" s="1"/>
      <c r="C21" s="5">
        <v>20</v>
      </c>
      <c r="D21" s="5" t="s">
        <v>161</v>
      </c>
      <c r="E21" s="5">
        <v>5</v>
      </c>
      <c r="F21" s="5" t="s">
        <v>151</v>
      </c>
      <c r="G21" s="6">
        <v>45936</v>
      </c>
      <c r="H21" s="5" t="s">
        <v>10</v>
      </c>
    </row>
    <row r="22" spans="1:8" ht="60" hidden="1">
      <c r="A22" s="1" t="s">
        <v>184</v>
      </c>
      <c r="B22" s="1"/>
      <c r="C22" s="5">
        <v>21</v>
      </c>
      <c r="D22" s="5" t="s">
        <v>154</v>
      </c>
      <c r="E22" s="5">
        <v>3</v>
      </c>
      <c r="F22" s="5" t="s">
        <v>151</v>
      </c>
      <c r="H22" s="5" t="s">
        <v>113</v>
      </c>
    </row>
    <row r="23" spans="1:8" ht="39.950000000000003" hidden="1">
      <c r="A23" s="1" t="s">
        <v>185</v>
      </c>
      <c r="B23" s="1"/>
      <c r="C23" s="5">
        <v>22</v>
      </c>
      <c r="D23" s="5" t="s">
        <v>154</v>
      </c>
      <c r="E23" s="5">
        <v>1</v>
      </c>
      <c r="F23" s="5" t="s">
        <v>158</v>
      </c>
      <c r="H23" s="5" t="s">
        <v>113</v>
      </c>
    </row>
    <row r="24" spans="1:8" ht="39.950000000000003" hidden="1">
      <c r="A24" s="1" t="s">
        <v>186</v>
      </c>
      <c r="B24" s="1"/>
      <c r="C24" s="5">
        <v>23</v>
      </c>
      <c r="D24" s="5" t="s">
        <v>154</v>
      </c>
      <c r="E24" s="5">
        <v>1</v>
      </c>
      <c r="F24" s="5" t="s">
        <v>158</v>
      </c>
      <c r="H24" s="5" t="s">
        <v>113</v>
      </c>
    </row>
    <row r="25" spans="1:8" ht="39.950000000000003" hidden="1">
      <c r="A25" s="1" t="s">
        <v>187</v>
      </c>
      <c r="B25" s="1"/>
      <c r="C25" s="5">
        <v>24</v>
      </c>
      <c r="D25" s="5" t="s">
        <v>161</v>
      </c>
      <c r="E25" s="5">
        <v>9</v>
      </c>
      <c r="F25" s="5" t="s">
        <v>155</v>
      </c>
      <c r="H25" s="5" t="s">
        <v>113</v>
      </c>
    </row>
    <row r="26" spans="1:8" ht="60" hidden="1">
      <c r="A26" s="1" t="s">
        <v>188</v>
      </c>
      <c r="B26" s="1"/>
      <c r="C26" s="5">
        <v>25</v>
      </c>
      <c r="D26" s="5" t="s">
        <v>161</v>
      </c>
      <c r="E26" s="5">
        <v>10</v>
      </c>
      <c r="F26" s="5" t="s">
        <v>151</v>
      </c>
      <c r="H26" s="5" t="s">
        <v>113</v>
      </c>
    </row>
    <row r="27" spans="1:8" ht="60" hidden="1">
      <c r="A27" s="1" t="s">
        <v>189</v>
      </c>
      <c r="B27" s="1"/>
      <c r="C27" s="5">
        <v>26</v>
      </c>
      <c r="D27" s="5" t="s">
        <v>154</v>
      </c>
      <c r="E27" s="5">
        <v>3</v>
      </c>
      <c r="F27" s="5" t="s">
        <v>158</v>
      </c>
      <c r="H27" s="5" t="s">
        <v>113</v>
      </c>
    </row>
    <row r="28" spans="1:8" ht="60" hidden="1">
      <c r="A28" s="1" t="s">
        <v>190</v>
      </c>
      <c r="B28" s="1"/>
      <c r="C28" s="5">
        <v>27</v>
      </c>
      <c r="D28" s="5" t="s">
        <v>154</v>
      </c>
      <c r="E28" s="5">
        <v>20</v>
      </c>
      <c r="F28" s="5" t="s">
        <v>155</v>
      </c>
      <c r="H28" s="5" t="s">
        <v>113</v>
      </c>
    </row>
    <row r="29" spans="1:8" ht="60" hidden="1">
      <c r="A29" s="1" t="s">
        <v>191</v>
      </c>
      <c r="B29" s="1"/>
      <c r="C29" s="5">
        <v>28</v>
      </c>
      <c r="D29" s="5" t="s">
        <v>154</v>
      </c>
      <c r="E29" s="5">
        <v>15</v>
      </c>
      <c r="F29" s="5" t="s">
        <v>155</v>
      </c>
      <c r="H29" s="5" t="s">
        <v>113</v>
      </c>
    </row>
    <row r="30" spans="1:8" ht="99.95" hidden="1">
      <c r="A30" s="1" t="s">
        <v>192</v>
      </c>
      <c r="B30" s="1"/>
      <c r="C30" s="5">
        <v>29</v>
      </c>
      <c r="D30" s="5" t="s">
        <v>154</v>
      </c>
      <c r="E30" s="5">
        <v>10</v>
      </c>
      <c r="F30" s="5" t="s">
        <v>151</v>
      </c>
      <c r="H30" s="5" t="s">
        <v>113</v>
      </c>
    </row>
    <row r="31" spans="1:8" ht="60" hidden="1">
      <c r="A31" s="1" t="s">
        <v>193</v>
      </c>
      <c r="B31" s="1"/>
      <c r="C31" s="5">
        <v>30</v>
      </c>
      <c r="D31" s="5" t="s">
        <v>150</v>
      </c>
      <c r="E31" s="5">
        <v>15</v>
      </c>
      <c r="F31" s="5" t="s">
        <v>151</v>
      </c>
      <c r="H31" s="5" t="s">
        <v>113</v>
      </c>
    </row>
    <row r="32" spans="1:8" ht="60" hidden="1">
      <c r="A32" s="1" t="s">
        <v>194</v>
      </c>
      <c r="B32" s="1"/>
      <c r="C32" s="5">
        <v>31</v>
      </c>
      <c r="D32" s="5" t="s">
        <v>161</v>
      </c>
      <c r="E32" s="5">
        <v>25</v>
      </c>
      <c r="F32" s="5" t="s">
        <v>155</v>
      </c>
      <c r="H32" s="5" t="s">
        <v>113</v>
      </c>
    </row>
    <row r="33" spans="1:8" ht="39.950000000000003" hidden="1">
      <c r="A33" s="1" t="s">
        <v>195</v>
      </c>
      <c r="B33" s="1"/>
      <c r="C33" s="5">
        <v>32</v>
      </c>
      <c r="D33" s="5" t="s">
        <v>154</v>
      </c>
      <c r="E33" s="5">
        <v>12</v>
      </c>
      <c r="F33" s="5" t="s">
        <v>155</v>
      </c>
      <c r="H33" s="5" t="s">
        <v>113</v>
      </c>
    </row>
    <row r="34" spans="1:8" ht="60" hidden="1">
      <c r="A34" s="1" t="s">
        <v>196</v>
      </c>
      <c r="B34" s="1"/>
      <c r="C34" s="5">
        <v>33</v>
      </c>
      <c r="D34" s="5" t="s">
        <v>154</v>
      </c>
      <c r="E34" s="5">
        <v>15</v>
      </c>
      <c r="F34" s="5" t="s">
        <v>155</v>
      </c>
      <c r="H34" s="5" t="s">
        <v>113</v>
      </c>
    </row>
    <row r="35" spans="1:8" ht="39.950000000000003" hidden="1">
      <c r="A35" s="1" t="s">
        <v>197</v>
      </c>
      <c r="B35" s="1"/>
      <c r="C35" s="5">
        <v>34</v>
      </c>
      <c r="D35" s="5" t="s">
        <v>150</v>
      </c>
      <c r="E35" s="5">
        <v>7</v>
      </c>
      <c r="F35" s="5" t="s">
        <v>155</v>
      </c>
      <c r="H35" s="5" t="s">
        <v>113</v>
      </c>
    </row>
    <row r="36" spans="1:8" ht="39.950000000000003" hidden="1">
      <c r="A36" s="1" t="s">
        <v>198</v>
      </c>
      <c r="B36" s="1"/>
      <c r="C36" s="5">
        <v>35</v>
      </c>
      <c r="D36" s="5" t="s">
        <v>154</v>
      </c>
      <c r="E36" s="5">
        <v>9</v>
      </c>
      <c r="F36" s="5" t="s">
        <v>151</v>
      </c>
      <c r="H36" s="5" t="s">
        <v>113</v>
      </c>
    </row>
    <row r="37" spans="1:8" ht="60" hidden="1">
      <c r="A37" s="1" t="s">
        <v>199</v>
      </c>
      <c r="B37" s="1"/>
      <c r="C37" s="5">
        <v>36</v>
      </c>
      <c r="D37" s="5" t="s">
        <v>154</v>
      </c>
      <c r="E37" s="5">
        <v>4</v>
      </c>
      <c r="F37" s="5" t="s">
        <v>158</v>
      </c>
      <c r="H37" s="5" t="s">
        <v>10</v>
      </c>
    </row>
    <row r="38" spans="1:8" ht="279.95" hidden="1">
      <c r="A38" s="1" t="s">
        <v>200</v>
      </c>
      <c r="B38" s="1" t="s">
        <v>149</v>
      </c>
      <c r="C38" s="5">
        <v>37</v>
      </c>
      <c r="D38" s="5" t="s">
        <v>150</v>
      </c>
      <c r="E38" s="5">
        <v>3</v>
      </c>
      <c r="F38" s="5" t="s">
        <v>151</v>
      </c>
      <c r="G38" s="6">
        <v>45944</v>
      </c>
      <c r="H38" s="5" t="s">
        <v>10</v>
      </c>
    </row>
    <row r="39" spans="1:8" ht="39.950000000000003" hidden="1">
      <c r="A39" s="1" t="s">
        <v>201</v>
      </c>
      <c r="B39" s="1"/>
      <c r="C39" s="5">
        <v>38</v>
      </c>
      <c r="D39" s="5" t="s">
        <v>150</v>
      </c>
      <c r="E39" s="5">
        <v>8</v>
      </c>
      <c r="F39" s="5" t="s">
        <v>155</v>
      </c>
      <c r="H39" s="5" t="s">
        <v>113</v>
      </c>
    </row>
    <row r="40" spans="1:8" hidden="1">
      <c r="B40" s="1"/>
      <c r="D40" s="1"/>
      <c r="E40" s="1"/>
      <c r="F40" s="1"/>
      <c r="G40" s="1"/>
      <c r="H40" s="5"/>
    </row>
    <row r="41" spans="1:8" ht="120.75" hidden="1" customHeight="1">
      <c r="A41" s="1" t="s">
        <v>202</v>
      </c>
      <c r="B41" s="1" t="s">
        <v>153</v>
      </c>
      <c r="C41" s="1">
        <v>39</v>
      </c>
      <c r="D41" s="5" t="s">
        <v>150</v>
      </c>
      <c r="E41" s="5">
        <v>12</v>
      </c>
      <c r="F41" s="5" t="s">
        <v>155</v>
      </c>
      <c r="G41" s="6">
        <v>45944</v>
      </c>
      <c r="H41" s="5" t="s">
        <v>10</v>
      </c>
    </row>
    <row r="42" spans="1:8" ht="120" hidden="1">
      <c r="A42" s="1" t="s">
        <v>203</v>
      </c>
      <c r="B42" s="1" t="s">
        <v>157</v>
      </c>
      <c r="C42" s="1">
        <v>40</v>
      </c>
      <c r="D42" s="5" t="s">
        <v>150</v>
      </c>
      <c r="E42" s="5">
        <v>30</v>
      </c>
      <c r="F42" s="5" t="s">
        <v>151</v>
      </c>
      <c r="G42" s="6">
        <v>45944</v>
      </c>
      <c r="H42" s="5" t="s">
        <v>10</v>
      </c>
    </row>
    <row r="43" spans="1:8" ht="140.1" hidden="1">
      <c r="A43" s="16" t="s">
        <v>204</v>
      </c>
      <c r="B43" s="19" t="s">
        <v>160</v>
      </c>
      <c r="C43" s="17">
        <v>41</v>
      </c>
      <c r="D43" s="18" t="s">
        <v>150</v>
      </c>
      <c r="E43" s="18">
        <v>4</v>
      </c>
      <c r="F43" s="18" t="s">
        <v>151</v>
      </c>
      <c r="G43" s="28">
        <v>45944</v>
      </c>
      <c r="H43" s="18" t="s">
        <v>10</v>
      </c>
    </row>
    <row r="44" spans="1:8" ht="159.94999999999999" hidden="1">
      <c r="A44" s="21" t="s">
        <v>205</v>
      </c>
      <c r="B44" s="24" t="s">
        <v>163</v>
      </c>
      <c r="C44" s="22">
        <v>42</v>
      </c>
      <c r="D44" s="23" t="s">
        <v>150</v>
      </c>
      <c r="E44" s="23">
        <v>20</v>
      </c>
      <c r="F44" s="23" t="s">
        <v>151</v>
      </c>
      <c r="G44" s="29">
        <v>45944</v>
      </c>
      <c r="H44" s="23" t="s">
        <v>10</v>
      </c>
    </row>
    <row r="45" spans="1:8" ht="219.95" hidden="1">
      <c r="A45" s="25" t="s">
        <v>206</v>
      </c>
      <c r="B45" s="1" t="s">
        <v>165</v>
      </c>
      <c r="C45" s="26">
        <v>43</v>
      </c>
      <c r="D45" s="27" t="s">
        <v>150</v>
      </c>
      <c r="E45" s="27">
        <v>15</v>
      </c>
      <c r="F45" s="27" t="s">
        <v>155</v>
      </c>
      <c r="G45" s="30">
        <v>45944</v>
      </c>
      <c r="H45" s="27" t="s">
        <v>10</v>
      </c>
    </row>
    <row r="46" spans="1:8" ht="39.950000000000003" hidden="1">
      <c r="A46" s="11" t="s">
        <v>207</v>
      </c>
      <c r="B46" s="12"/>
      <c r="C46" s="12">
        <v>44</v>
      </c>
      <c r="D46" s="12" t="s">
        <v>154</v>
      </c>
      <c r="E46" s="12"/>
      <c r="F46" s="12"/>
      <c r="G46" s="15"/>
      <c r="H46" s="13" t="s">
        <v>113</v>
      </c>
    </row>
    <row r="47" spans="1:8" ht="60" hidden="1">
      <c r="A47" s="16" t="s">
        <v>208</v>
      </c>
      <c r="B47" s="17"/>
      <c r="C47" s="17">
        <v>45</v>
      </c>
      <c r="D47" s="17" t="s">
        <v>154</v>
      </c>
      <c r="E47" s="17"/>
      <c r="F47" s="17"/>
      <c r="G47" s="20"/>
      <c r="H47" s="18" t="s">
        <v>113</v>
      </c>
    </row>
    <row r="48" spans="1:8" ht="159.94999999999999" hidden="1">
      <c r="A48" s="11" t="s">
        <v>209</v>
      </c>
      <c r="B48" s="14" t="s">
        <v>167</v>
      </c>
      <c r="C48" s="12">
        <v>50</v>
      </c>
      <c r="D48" s="13" t="s">
        <v>150</v>
      </c>
      <c r="E48" s="13">
        <v>3</v>
      </c>
      <c r="F48" s="13" t="s">
        <v>151</v>
      </c>
      <c r="G48" s="31">
        <v>45944</v>
      </c>
      <c r="H48" s="13" t="s">
        <v>10</v>
      </c>
    </row>
    <row r="49" spans="1:8" ht="120" hidden="1">
      <c r="A49" s="16" t="s">
        <v>210</v>
      </c>
      <c r="B49" s="19" t="s">
        <v>169</v>
      </c>
      <c r="C49" s="17">
        <v>51</v>
      </c>
      <c r="D49" s="18" t="s">
        <v>150</v>
      </c>
      <c r="E49" s="18">
        <v>2</v>
      </c>
      <c r="F49" s="18" t="s">
        <v>151</v>
      </c>
      <c r="G49" s="28">
        <v>45944</v>
      </c>
      <c r="H49" s="18" t="s">
        <v>10</v>
      </c>
    </row>
    <row r="50" spans="1:8" ht="159.94999999999999" hidden="1">
      <c r="A50" s="11" t="s">
        <v>211</v>
      </c>
      <c r="B50" s="24" t="s">
        <v>171</v>
      </c>
      <c r="C50" s="12">
        <v>46</v>
      </c>
      <c r="D50" s="13" t="s">
        <v>150</v>
      </c>
      <c r="E50" s="13">
        <v>4</v>
      </c>
      <c r="F50" s="13" t="s">
        <v>151</v>
      </c>
      <c r="G50" s="31">
        <v>45944</v>
      </c>
      <c r="H50" s="13" t="s">
        <v>10</v>
      </c>
    </row>
    <row r="51" spans="1:8" hidden="1">
      <c r="A51" s="16"/>
      <c r="B51" s="19"/>
      <c r="C51" s="17"/>
      <c r="D51" s="18"/>
      <c r="E51" s="18"/>
      <c r="F51" s="18"/>
      <c r="G51" s="28"/>
      <c r="H51" s="18"/>
    </row>
    <row r="52" spans="1:8" ht="80.099999999999994" hidden="1">
      <c r="A52" s="16" t="s">
        <v>212</v>
      </c>
      <c r="B52" s="17" t="s">
        <v>213</v>
      </c>
      <c r="C52" s="17">
        <v>48</v>
      </c>
      <c r="D52" s="17" t="s">
        <v>150</v>
      </c>
      <c r="E52" s="17" t="s">
        <v>7</v>
      </c>
      <c r="F52" s="17" t="s">
        <v>158</v>
      </c>
      <c r="G52" s="20">
        <v>45964</v>
      </c>
      <c r="H52" s="18" t="s">
        <v>10</v>
      </c>
    </row>
    <row r="53" spans="1:8" ht="99.95" hidden="1">
      <c r="A53" s="16" t="s">
        <v>214</v>
      </c>
      <c r="B53" s="17" t="s">
        <v>215</v>
      </c>
      <c r="C53" s="17">
        <v>49</v>
      </c>
      <c r="D53" s="17" t="s">
        <v>150</v>
      </c>
      <c r="E53" s="17">
        <v>2</v>
      </c>
      <c r="F53" s="17" t="s">
        <v>155</v>
      </c>
      <c r="G53" s="20">
        <v>45964</v>
      </c>
      <c r="H53" s="18" t="s">
        <v>10</v>
      </c>
    </row>
    <row r="54" spans="1:8" ht="159.94999999999999" hidden="1">
      <c r="A54" s="16" t="s">
        <v>216</v>
      </c>
      <c r="B54" s="17" t="s">
        <v>217</v>
      </c>
      <c r="C54" s="17">
        <v>52</v>
      </c>
      <c r="D54" s="17" t="s">
        <v>150</v>
      </c>
      <c r="E54" s="17">
        <v>5</v>
      </c>
      <c r="F54" s="17" t="s">
        <v>155</v>
      </c>
      <c r="G54" s="20">
        <v>45964</v>
      </c>
      <c r="H54" s="18" t="s">
        <v>10</v>
      </c>
    </row>
    <row r="55" spans="1:8" ht="120" hidden="1">
      <c r="A55" s="11" t="s">
        <v>218</v>
      </c>
      <c r="B55" s="12" t="s">
        <v>219</v>
      </c>
      <c r="C55" s="12">
        <v>53</v>
      </c>
      <c r="D55" s="12" t="s">
        <v>150</v>
      </c>
      <c r="E55" s="12">
        <v>3</v>
      </c>
      <c r="F55" s="12" t="s">
        <v>151</v>
      </c>
      <c r="G55" s="15">
        <v>45964</v>
      </c>
      <c r="H55" s="13" t="s">
        <v>10</v>
      </c>
    </row>
    <row r="56" spans="1:8" ht="198.6" hidden="1" customHeight="1">
      <c r="A56" s="16" t="s">
        <v>220</v>
      </c>
      <c r="B56" s="17" t="s">
        <v>221</v>
      </c>
      <c r="C56" s="17">
        <v>54</v>
      </c>
      <c r="D56" s="17" t="s">
        <v>150</v>
      </c>
      <c r="E56" s="17">
        <v>1</v>
      </c>
      <c r="F56" s="17" t="s">
        <v>158</v>
      </c>
      <c r="G56" s="20">
        <v>45964</v>
      </c>
      <c r="H56" s="18" t="s">
        <v>10</v>
      </c>
    </row>
    <row r="57" spans="1:8" ht="171.6" hidden="1" customHeight="1">
      <c r="A57" s="11" t="s">
        <v>222</v>
      </c>
      <c r="B57" s="12" t="s">
        <v>223</v>
      </c>
      <c r="C57" s="12">
        <v>55</v>
      </c>
      <c r="D57" s="12" t="s">
        <v>150</v>
      </c>
      <c r="E57" s="12">
        <v>10</v>
      </c>
      <c r="F57" s="12" t="s">
        <v>155</v>
      </c>
      <c r="G57" s="15">
        <v>45964</v>
      </c>
      <c r="H57" s="13" t="s">
        <v>10</v>
      </c>
    </row>
    <row r="58" spans="1:8" ht="180" hidden="1">
      <c r="A58" s="16" t="s">
        <v>224</v>
      </c>
      <c r="B58" s="17" t="s">
        <v>225</v>
      </c>
      <c r="C58" s="17">
        <v>56</v>
      </c>
      <c r="D58" s="17" t="s">
        <v>150</v>
      </c>
      <c r="E58" s="17">
        <v>2</v>
      </c>
      <c r="F58" s="17" t="s">
        <v>151</v>
      </c>
      <c r="G58" s="20">
        <v>45964</v>
      </c>
      <c r="H58" s="13" t="s">
        <v>10</v>
      </c>
    </row>
    <row r="59" spans="1:8" ht="227.45" hidden="1" customHeight="1">
      <c r="A59" s="11" t="s">
        <v>226</v>
      </c>
      <c r="B59" s="12" t="s">
        <v>227</v>
      </c>
      <c r="C59" s="12">
        <v>57</v>
      </c>
      <c r="D59" s="12" t="s">
        <v>150</v>
      </c>
      <c r="E59" s="12">
        <v>1</v>
      </c>
      <c r="F59" s="12" t="s">
        <v>158</v>
      </c>
      <c r="G59" s="15">
        <v>45964</v>
      </c>
      <c r="H59" s="13" t="s">
        <v>10</v>
      </c>
    </row>
    <row r="60" spans="1:8" ht="138" hidden="1" customHeight="1">
      <c r="A60" s="16" t="s">
        <v>228</v>
      </c>
      <c r="B60" s="17" t="s">
        <v>229</v>
      </c>
      <c r="C60" s="17">
        <v>58</v>
      </c>
      <c r="D60" s="17" t="s">
        <v>150</v>
      </c>
      <c r="E60" s="17">
        <v>7</v>
      </c>
      <c r="F60" s="17" t="s">
        <v>155</v>
      </c>
      <c r="G60" s="20">
        <v>45964</v>
      </c>
      <c r="H60" s="18" t="s">
        <v>10</v>
      </c>
    </row>
    <row r="61" spans="1:8" ht="320.10000000000002" hidden="1">
      <c r="A61" s="11" t="s">
        <v>230</v>
      </c>
      <c r="B61" s="12" t="s">
        <v>231</v>
      </c>
      <c r="C61" s="12">
        <v>59</v>
      </c>
      <c r="D61" s="12" t="s">
        <v>150</v>
      </c>
      <c r="E61" s="12">
        <v>7</v>
      </c>
      <c r="F61" s="12" t="s">
        <v>151</v>
      </c>
      <c r="G61" s="15">
        <v>45964</v>
      </c>
      <c r="H61" s="13" t="s">
        <v>10</v>
      </c>
    </row>
    <row r="62" spans="1:8" ht="221.1" hidden="1" customHeight="1">
      <c r="A62" s="16" t="s">
        <v>232</v>
      </c>
      <c r="B62" s="17" t="s">
        <v>233</v>
      </c>
      <c r="C62" s="17">
        <v>60</v>
      </c>
      <c r="D62" s="17" t="s">
        <v>150</v>
      </c>
      <c r="E62" s="17">
        <v>4</v>
      </c>
      <c r="F62" s="17" t="s">
        <v>151</v>
      </c>
      <c r="G62" s="20">
        <v>45964</v>
      </c>
      <c r="H62" s="18" t="s">
        <v>10</v>
      </c>
    </row>
    <row r="63" spans="1:8" hidden="1">
      <c r="A63" s="16"/>
      <c r="B63" s="17"/>
      <c r="C63" s="17"/>
      <c r="D63" s="17"/>
      <c r="E63" s="17"/>
      <c r="F63" s="17"/>
      <c r="G63" s="20"/>
      <c r="H63" s="18"/>
    </row>
    <row r="64" spans="1:8" ht="264.75">
      <c r="A64" s="16" t="s">
        <v>234</v>
      </c>
      <c r="B64" s="17" t="s">
        <v>235</v>
      </c>
      <c r="C64" s="17">
        <f>ROW() - ROW(TablaBacklog[[#Headers],[ID]]) - 2</f>
        <v>61</v>
      </c>
      <c r="D64" s="17" t="s">
        <v>150</v>
      </c>
      <c r="E64" s="17">
        <v>5</v>
      </c>
      <c r="F64" s="17" t="s">
        <v>151</v>
      </c>
      <c r="G64" s="20">
        <v>46003</v>
      </c>
      <c r="H64" s="18" t="s">
        <v>113</v>
      </c>
    </row>
    <row r="65" spans="1:8" ht="170.25">
      <c r="A65" s="11" t="s">
        <v>236</v>
      </c>
      <c r="B65" s="12" t="s">
        <v>237</v>
      </c>
      <c r="C65" s="12">
        <f>ROW() - ROW(TablaBacklog[[#Headers],[ID]]) - 2</f>
        <v>62</v>
      </c>
      <c r="D65" s="17" t="s">
        <v>150</v>
      </c>
      <c r="E65" s="12">
        <v>9</v>
      </c>
      <c r="F65" s="12" t="s">
        <v>158</v>
      </c>
      <c r="G65" s="15">
        <v>46003</v>
      </c>
      <c r="H65" s="13" t="s">
        <v>113</v>
      </c>
    </row>
    <row r="66" spans="1:8" ht="113.25">
      <c r="A66" s="16" t="s">
        <v>238</v>
      </c>
      <c r="B66" s="17" t="s">
        <v>239</v>
      </c>
      <c r="C66" s="17">
        <f>ROW() - ROW(TablaBacklog[[#Headers],[ID]]) - 2</f>
        <v>63</v>
      </c>
      <c r="D66" s="17" t="s">
        <v>150</v>
      </c>
      <c r="E66" s="17">
        <v>12</v>
      </c>
      <c r="F66" s="17" t="s">
        <v>151</v>
      </c>
      <c r="G66" s="20">
        <v>46003</v>
      </c>
      <c r="H66" s="18" t="s">
        <v>113</v>
      </c>
    </row>
    <row r="67" spans="1:8" ht="170.25">
      <c r="A67" s="11" t="s">
        <v>240</v>
      </c>
      <c r="B67" s="12" t="s">
        <v>241</v>
      </c>
      <c r="C67" s="12">
        <f>ROW() - ROW(TablaBacklog[[#Headers],[ID]]) - 2</f>
        <v>64</v>
      </c>
      <c r="D67" s="17" t="s">
        <v>150</v>
      </c>
      <c r="E67" s="12">
        <v>3</v>
      </c>
      <c r="F67" s="12" t="s">
        <v>151</v>
      </c>
      <c r="G67" s="15">
        <v>46003</v>
      </c>
      <c r="H67" s="13" t="s">
        <v>113</v>
      </c>
    </row>
    <row r="68" spans="1:8" ht="189">
      <c r="A68" s="11" t="s">
        <v>242</v>
      </c>
      <c r="B68" s="12" t="s">
        <v>243</v>
      </c>
      <c r="C68" s="17">
        <f>ROW() - ROW(TablaBacklog[[#Headers],[ID]]) - 2</f>
        <v>65</v>
      </c>
      <c r="D68" s="17" t="s">
        <v>150</v>
      </c>
      <c r="E68" s="17">
        <v>19</v>
      </c>
      <c r="F68" s="17" t="s">
        <v>155</v>
      </c>
      <c r="G68" s="20">
        <v>46003</v>
      </c>
      <c r="H68" s="18" t="s">
        <v>113</v>
      </c>
    </row>
    <row r="69" spans="1:8" ht="132">
      <c r="A69" s="11" t="s">
        <v>244</v>
      </c>
      <c r="B69" s="12" t="s">
        <v>245</v>
      </c>
      <c r="C69" s="12">
        <f>ROW() - ROW(TablaBacklog[[#Headers],[ID]]) - 2</f>
        <v>66</v>
      </c>
      <c r="D69" s="17" t="s">
        <v>150</v>
      </c>
      <c r="E69" s="12">
        <v>24</v>
      </c>
      <c r="F69" s="12" t="s">
        <v>155</v>
      </c>
      <c r="G69" s="40">
        <v>46003</v>
      </c>
      <c r="H69" s="13" t="s">
        <v>113</v>
      </c>
    </row>
    <row r="70" spans="1:8" ht="264.75">
      <c r="A70" s="16" t="s">
        <v>246</v>
      </c>
      <c r="B70" s="17" t="s">
        <v>247</v>
      </c>
      <c r="C70" s="17">
        <f>ROW() - ROW(TablaBacklog[[#Headers],[ID]]) - 2</f>
        <v>67</v>
      </c>
      <c r="D70" s="17" t="s">
        <v>150</v>
      </c>
      <c r="E70" s="17">
        <v>20</v>
      </c>
      <c r="F70" s="17" t="s">
        <v>151</v>
      </c>
      <c r="G70" s="40">
        <v>46003</v>
      </c>
      <c r="H70" s="18" t="s">
        <v>113</v>
      </c>
    </row>
    <row r="71" spans="1:8" ht="264.75">
      <c r="A71" s="16" t="s">
        <v>248</v>
      </c>
      <c r="B71" s="17" t="s">
        <v>249</v>
      </c>
      <c r="C71" s="17">
        <f>ROW() - ROW(TablaBacklog[[#Headers],[ID]]) - 2</f>
        <v>68</v>
      </c>
      <c r="D71" s="17" t="s">
        <v>150</v>
      </c>
      <c r="E71" s="17">
        <v>10</v>
      </c>
      <c r="F71" s="17" t="s">
        <v>151</v>
      </c>
      <c r="G71" s="20">
        <v>46003</v>
      </c>
      <c r="H71" s="18" t="s">
        <v>113</v>
      </c>
    </row>
    <row r="72" spans="1:8" ht="264.75">
      <c r="A72" s="11" t="s">
        <v>250</v>
      </c>
      <c r="B72" s="17" t="s">
        <v>251</v>
      </c>
      <c r="C72" s="12">
        <f>ROW() - ROW(TablaBacklog[[#Headers],[ID]]) - 2</f>
        <v>69</v>
      </c>
      <c r="D72" s="12" t="s">
        <v>150</v>
      </c>
      <c r="E72" s="12">
        <v>12</v>
      </c>
      <c r="F72" s="12" t="s">
        <v>151</v>
      </c>
      <c r="G72" s="15">
        <v>46003</v>
      </c>
      <c r="H72" s="13" t="s">
        <v>113</v>
      </c>
    </row>
    <row r="73" spans="1:8" ht="132">
      <c r="A73" s="16" t="s">
        <v>252</v>
      </c>
      <c r="B73" s="17" t="s">
        <v>253</v>
      </c>
      <c r="C73" s="17">
        <f>ROW() - ROW(TablaBacklog[[#Headers],[ID]]) - 2</f>
        <v>70</v>
      </c>
      <c r="D73" s="17" t="s">
        <v>150</v>
      </c>
      <c r="E73" s="17">
        <v>16</v>
      </c>
      <c r="F73" s="17" t="s">
        <v>158</v>
      </c>
      <c r="G73" s="20">
        <v>46003</v>
      </c>
      <c r="H73" s="18" t="s">
        <v>113</v>
      </c>
    </row>
    <row r="74" spans="1:8" ht="94.5">
      <c r="A74" s="11" t="s">
        <v>254</v>
      </c>
      <c r="B74" s="12"/>
      <c r="C74" s="12">
        <f>ROW() - ROW(TablaBacklog[[#Headers],[ID]]) - 2</f>
        <v>71</v>
      </c>
      <c r="D74" s="12" t="s">
        <v>150</v>
      </c>
      <c r="E74" s="12">
        <v>21</v>
      </c>
      <c r="F74" s="12" t="s">
        <v>158</v>
      </c>
      <c r="G74" s="15">
        <v>46003</v>
      </c>
      <c r="H74" s="13" t="s">
        <v>113</v>
      </c>
    </row>
    <row r="75" spans="1:8" ht="37.5">
      <c r="A75" s="16" t="s">
        <v>255</v>
      </c>
      <c r="B75" s="17"/>
      <c r="C75" s="17">
        <f>ROW() - ROW(TablaBacklog[[#Headers],[ID]]) - 2</f>
        <v>72</v>
      </c>
      <c r="D75" s="17" t="s">
        <v>150</v>
      </c>
      <c r="E75" s="17">
        <v>5</v>
      </c>
      <c r="F75" s="17" t="s">
        <v>158</v>
      </c>
      <c r="G75" s="20">
        <v>46003</v>
      </c>
      <c r="H75" s="18" t="s">
        <v>113</v>
      </c>
    </row>
    <row r="76" spans="1:8" ht="75.75">
      <c r="A76" s="1" t="s">
        <v>256</v>
      </c>
      <c r="B76" s="17" t="s">
        <v>257</v>
      </c>
      <c r="C76" s="1">
        <f>ROW() - ROW(TablaBacklog[[#Headers],[ID]]) - 2</f>
        <v>73</v>
      </c>
      <c r="D76" s="1" t="s">
        <v>150</v>
      </c>
      <c r="E76" s="1">
        <v>7</v>
      </c>
      <c r="F76" s="1" t="s">
        <v>151</v>
      </c>
      <c r="G76" s="40">
        <v>46003</v>
      </c>
      <c r="H76" s="5" t="s">
        <v>113</v>
      </c>
    </row>
    <row r="77" spans="1:8" ht="57">
      <c r="A77" s="1" t="s">
        <v>258</v>
      </c>
      <c r="B77" s="17"/>
      <c r="C77" s="1">
        <v>74</v>
      </c>
      <c r="D77" s="1" t="s">
        <v>150</v>
      </c>
      <c r="E77" s="1">
        <v>12</v>
      </c>
      <c r="F77" s="1" t="s">
        <v>151</v>
      </c>
      <c r="G77" s="40">
        <v>46003</v>
      </c>
      <c r="H77" s="5" t="s">
        <v>113</v>
      </c>
    </row>
  </sheetData>
  <conditionalFormatting sqref="D1:D1048576">
    <cfRule type="cellIs" dxfId="33" priority="10" operator="equal">
      <formula>"C"</formula>
    </cfRule>
    <cfRule type="cellIs" dxfId="32" priority="11" operator="equal">
      <formula>"N"</formula>
    </cfRule>
    <cfRule type="cellIs" dxfId="31" priority="12" operator="equal">
      <formula>"I"</formula>
    </cfRule>
  </conditionalFormatting>
  <conditionalFormatting sqref="D2:D77">
    <cfRule type="containsText" dxfId="30" priority="26" operator="containsText" text="Baja"/>
    <cfRule type="containsText" dxfId="29" priority="27" operator="containsText" text="Media"/>
    <cfRule type="containsText" dxfId="28" priority="28" operator="containsText" text="Alta"/>
  </conditionalFormatting>
  <conditionalFormatting sqref="F1:F1048576">
    <cfRule type="cellIs" dxfId="27" priority="13" operator="equal">
      <formula>"Bajo"</formula>
    </cfRule>
    <cfRule type="cellIs" dxfId="26" priority="14" operator="equal">
      <formula>"Medio"</formula>
    </cfRule>
    <cfRule type="cellIs" dxfId="25" priority="15" operator="equal">
      <formula>"Alto"</formula>
    </cfRule>
  </conditionalFormatting>
  <conditionalFormatting sqref="F2:F77">
    <cfRule type="containsText" dxfId="24" priority="19" operator="containsText" text="Completo"/>
    <cfRule type="containsText" dxfId="23" priority="20" operator="containsText" text="En progreso"/>
    <cfRule type="containsText" dxfId="22" priority="21" operator="containsText" text="Bloqueado"/>
    <cfRule type="containsText" dxfId="21" priority="22" operator="containsText" text="Pendiente"/>
  </conditionalFormatting>
  <conditionalFormatting sqref="H1:H42">
    <cfRule type="cellIs" dxfId="20" priority="4" operator="equal">
      <formula>"Pendiente"</formula>
    </cfRule>
    <cfRule type="cellIs" dxfId="19" priority="5" operator="equal">
      <formula>"En progreso"</formula>
    </cfRule>
    <cfRule type="cellIs" dxfId="18" priority="6" operator="equal">
      <formula>"Completado"</formula>
    </cfRule>
  </conditionalFormatting>
  <conditionalFormatting sqref="H1:H1048576">
    <cfRule type="cellIs" dxfId="17" priority="1" operator="equal">
      <formula>"Completado"</formula>
    </cfRule>
    <cfRule type="cellIs" dxfId="16" priority="2" operator="equal">
      <formula>"Pendiente"</formula>
    </cfRule>
  </conditionalFormatting>
  <conditionalFormatting sqref="H2:H77">
    <cfRule type="cellIs" dxfId="15" priority="3" operator="equal">
      <formula>"En progreso"</formula>
    </cfRule>
  </conditionalFormatting>
  <conditionalFormatting sqref="H44:H45 H76:H1048576">
    <cfRule type="cellIs" dxfId="14" priority="16" operator="equal">
      <formula>"En progreso"</formula>
    </cfRule>
    <cfRule type="cellIs" dxfId="13" priority="17" operator="equal">
      <formula>"Pendiente"</formula>
    </cfRule>
    <cfRule type="cellIs" dxfId="12" priority="18" operator="equal">
      <formula>"Completado"</formula>
    </cfRule>
  </conditionalFormatting>
  <dataValidations count="4">
    <dataValidation type="list" allowBlank="1" showInputMessage="1" showErrorMessage="1" sqref="H1:H1048576" xr:uid="{FF3187EA-698C-4349-BBBF-3711D69757FC}">
      <formula1>"Pendiente,En progreso,Completado,"</formula1>
    </dataValidation>
    <dataValidation type="list" allowBlank="1" showInputMessage="1" showErrorMessage="1" error="Valor no válido" prompt="Selecciona un valor de la lista" sqref="F1:F1048576" xr:uid="{180C5135-7872-D947-874C-48816639E49B}">
      <formula1>"Alto,Medio,Bajo"</formula1>
    </dataValidation>
    <dataValidation type="list" allowBlank="1" showInputMessage="1" showErrorMessage="1" error="Valor no válido" prompt="Selecciona un valor de la lista" sqref="D1:D1048576" xr:uid="{8C92357C-0855-DE40-9584-D4CC73F77B0F}">
      <formula1>"I,N,C"</formula1>
    </dataValidation>
    <dataValidation allowBlank="1" showDropDown="1" showInputMessage="1" showErrorMessage="1" error="Valor no válido" prompt="Selecciona un valor de la lista" sqref="G1:G68 G71:G1048576" xr:uid="{C2CB47F4-93D5-9D45-BA2E-E9FADB59DA5F}"/>
  </dataValidations>
  <pageMargins left="0.75" right="0.75" top="1" bottom="1" header="0.5" footer="0.5"/>
  <pageSetup paperSize="9" orientation="portrait" r:id="rId1"/>
  <ignoredErrors>
    <ignoredError sqref="H2:H9 H13:H14 H22:H36 H16 H18:H20" listDataValidation="1"/>
  </ignoredErrors>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2025-09-29T15:55:23Z</dcterms:created>
  <dcterms:modified xsi:type="dcterms:W3CDTF">2025-11-20T13:59:34Z</dcterms:modified>
  <cp:category/>
  <cp:contentStatus/>
</cp:coreProperties>
</file>